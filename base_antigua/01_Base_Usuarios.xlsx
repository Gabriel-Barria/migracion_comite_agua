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4"/>
    <sheet state="visible" name="Plantilla" sheetId="2" r:id="rId5"/>
    <sheet state="visible" name="01-2025" sheetId="3" r:id="rId6"/>
    <sheet state="visible" name="02-2025" sheetId="4" r:id="rId7"/>
    <sheet state="visible" name="03-2025" sheetId="5" r:id="rId8"/>
    <sheet state="visible" name="04-2025" sheetId="6" r:id="rId9"/>
    <sheet state="visible" name="05-2025" sheetId="7" r:id="rId10"/>
    <sheet state="visible" name="06-2025" sheetId="8" r:id="rId11"/>
    <sheet state="visible" name="07-2025" sheetId="9" r:id="rId12"/>
    <sheet state="visible" name="08-2025" sheetId="10" r:id="rId13"/>
    <sheet state="visible" name="09-2025" sheetId="11" r:id="rId14"/>
    <sheet state="visible" name="10-2025" sheetId="12" r:id="rId15"/>
  </sheets>
  <definedNames/>
  <calcPr/>
</workbook>
</file>

<file path=xl/sharedStrings.xml><?xml version="1.0" encoding="utf-8"?>
<sst xmlns="http://schemas.openxmlformats.org/spreadsheetml/2006/main" count="1256" uniqueCount="151">
  <si>
    <t>ID</t>
  </si>
  <si>
    <t>Nombre</t>
  </si>
  <si>
    <t>Primer Apellido</t>
  </si>
  <si>
    <t>Segundo Apellido</t>
  </si>
  <si>
    <t>RUT</t>
  </si>
  <si>
    <t>Telefono</t>
  </si>
  <si>
    <t>Email</t>
  </si>
  <si>
    <t>Direccion</t>
  </si>
  <si>
    <t>Fecha Incorporacion</t>
  </si>
  <si>
    <t>Integrantes Hogar</t>
  </si>
  <si>
    <t>Estado</t>
  </si>
  <si>
    <t>Observaciones</t>
  </si>
  <si>
    <t>Nancy</t>
  </si>
  <si>
    <t>Zuñiga</t>
  </si>
  <si>
    <t>Villarroel</t>
  </si>
  <si>
    <t>9797809-3</t>
  </si>
  <si>
    <t>Pasaje Las Rosas #309</t>
  </si>
  <si>
    <t>Activo</t>
  </si>
  <si>
    <t>Gabriel</t>
  </si>
  <si>
    <t>Barria</t>
  </si>
  <si>
    <t>19175724-6</t>
  </si>
  <si>
    <t>Pasaje los Claveles S/N</t>
  </si>
  <si>
    <t xml:space="preserve">Gino </t>
  </si>
  <si>
    <t>Reyes</t>
  </si>
  <si>
    <t>13062892-3</t>
  </si>
  <si>
    <t xml:space="preserve">Cristian </t>
  </si>
  <si>
    <t>Oyarzo</t>
  </si>
  <si>
    <t>18910875-3</t>
  </si>
  <si>
    <t xml:space="preserve">Marisol </t>
  </si>
  <si>
    <t>Castro</t>
  </si>
  <si>
    <t xml:space="preserve">Mauricio </t>
  </si>
  <si>
    <t>Muñoz</t>
  </si>
  <si>
    <t xml:space="preserve">Marcelo </t>
  </si>
  <si>
    <t>Millanao</t>
  </si>
  <si>
    <t xml:space="preserve">Gabriel </t>
  </si>
  <si>
    <t>Farias</t>
  </si>
  <si>
    <t xml:space="preserve">Maria </t>
  </si>
  <si>
    <t>Marin</t>
  </si>
  <si>
    <t xml:space="preserve">David </t>
  </si>
  <si>
    <t>Cartes</t>
  </si>
  <si>
    <t xml:space="preserve">Miguel </t>
  </si>
  <si>
    <t>Ñanco</t>
  </si>
  <si>
    <t xml:space="preserve">Pedro </t>
  </si>
  <si>
    <t>Contreras</t>
  </si>
  <si>
    <t>Inactivo</t>
  </si>
  <si>
    <t xml:space="preserve">Carlos </t>
  </si>
  <si>
    <t>Gamin</t>
  </si>
  <si>
    <t xml:space="preserve">Ramona </t>
  </si>
  <si>
    <t>Mansilla</t>
  </si>
  <si>
    <t>Sandra</t>
  </si>
  <si>
    <t xml:space="preserve">Mancilla </t>
  </si>
  <si>
    <t>Merino</t>
  </si>
  <si>
    <t>Agüero</t>
  </si>
  <si>
    <t xml:space="preserve">Joaquin </t>
  </si>
  <si>
    <t>Claramunt</t>
  </si>
  <si>
    <t xml:space="preserve">Nelson </t>
  </si>
  <si>
    <t xml:space="preserve">Eduardo </t>
  </si>
  <si>
    <t>Chavez</t>
  </si>
  <si>
    <t xml:space="preserve">Juan </t>
  </si>
  <si>
    <t xml:space="preserve">Luis </t>
  </si>
  <si>
    <t>Martinez</t>
  </si>
  <si>
    <t xml:space="preserve">Yuri </t>
  </si>
  <si>
    <t>Millaquen</t>
  </si>
  <si>
    <t>Nahuelpan</t>
  </si>
  <si>
    <t>Maria</t>
  </si>
  <si>
    <t xml:space="preserve">Velasquez </t>
  </si>
  <si>
    <t>Miranda</t>
  </si>
  <si>
    <t xml:space="preserve">Inés </t>
  </si>
  <si>
    <t>Velasquez</t>
  </si>
  <si>
    <t xml:space="preserve">Guido </t>
  </si>
  <si>
    <t>Quintuy</t>
  </si>
  <si>
    <t>Frutería</t>
  </si>
  <si>
    <t>Almonacid</t>
  </si>
  <si>
    <t xml:space="preserve">Nora </t>
  </si>
  <si>
    <t xml:space="preserve">Miriam </t>
  </si>
  <si>
    <t>Alvarado</t>
  </si>
  <si>
    <t xml:space="preserve">Luz </t>
  </si>
  <si>
    <t>Maldonado</t>
  </si>
  <si>
    <t xml:space="preserve">Patricia </t>
  </si>
  <si>
    <t xml:space="preserve">Carcamo </t>
  </si>
  <si>
    <t>Gonzales</t>
  </si>
  <si>
    <t xml:space="preserve">Natividad </t>
  </si>
  <si>
    <t>Soto</t>
  </si>
  <si>
    <t xml:space="preserve">Maria Oliva </t>
  </si>
  <si>
    <t xml:space="preserve">Soto </t>
  </si>
  <si>
    <t xml:space="preserve">Vanesa </t>
  </si>
  <si>
    <t>Aguilar</t>
  </si>
  <si>
    <t xml:space="preserve">José </t>
  </si>
  <si>
    <t>Paredes</t>
  </si>
  <si>
    <t xml:space="preserve">Danilo </t>
  </si>
  <si>
    <t>Patricio</t>
  </si>
  <si>
    <t>Alvarez</t>
  </si>
  <si>
    <t>Mancilla</t>
  </si>
  <si>
    <t xml:space="preserve">Norma </t>
  </si>
  <si>
    <t>Sanchez</t>
  </si>
  <si>
    <t xml:space="preserve">Gloria </t>
  </si>
  <si>
    <t>Levil</t>
  </si>
  <si>
    <t xml:space="preserve">Astrid </t>
  </si>
  <si>
    <t>Gomez</t>
  </si>
  <si>
    <t xml:space="preserve">Leo </t>
  </si>
  <si>
    <t xml:space="preserve">Ramon </t>
  </si>
  <si>
    <t xml:space="preserve">María Sonia </t>
  </si>
  <si>
    <t>Quintui</t>
  </si>
  <si>
    <t xml:space="preserve">Monica </t>
  </si>
  <si>
    <t>Cuello</t>
  </si>
  <si>
    <t>Muñoz taller</t>
  </si>
  <si>
    <t xml:space="preserve">Pablo </t>
  </si>
  <si>
    <t xml:space="preserve">Luis Vicente  </t>
  </si>
  <si>
    <t xml:space="preserve">Mondaca </t>
  </si>
  <si>
    <t xml:space="preserve">Rosa </t>
  </si>
  <si>
    <t>Nuñez</t>
  </si>
  <si>
    <t xml:space="preserve">Gloria Isamar </t>
  </si>
  <si>
    <t>19.175.786-6</t>
  </si>
  <si>
    <t>Segundo pasaje, colindante con David Cartes</t>
  </si>
  <si>
    <t>Manquian</t>
  </si>
  <si>
    <t xml:space="preserve">Esteban </t>
  </si>
  <si>
    <t xml:space="preserve">Oyarzo </t>
  </si>
  <si>
    <t xml:space="preserve">Nicolas Andres </t>
  </si>
  <si>
    <t>Cardenas</t>
  </si>
  <si>
    <t>Bustamante</t>
  </si>
  <si>
    <t>Sitio al lado de Nancy Zuñiga</t>
  </si>
  <si>
    <t>Camino principal, sector playa</t>
  </si>
  <si>
    <t>Quintuy - Sitio vacío</t>
  </si>
  <si>
    <t xml:space="preserve">Mario </t>
  </si>
  <si>
    <t xml:space="preserve">Lishby </t>
  </si>
  <si>
    <t xml:space="preserve">Fuentes </t>
  </si>
  <si>
    <t>Diaz</t>
  </si>
  <si>
    <t>Lectura_Anterior</t>
  </si>
  <si>
    <t>Lectura_Actual</t>
  </si>
  <si>
    <t>Consumo_m3</t>
  </si>
  <si>
    <t>Tarifa_m3</t>
  </si>
  <si>
    <t>Subtotal_Consumo</t>
  </si>
  <si>
    <t>Cargo_Fijo</t>
  </si>
  <si>
    <t>Total_Factura</t>
  </si>
  <si>
    <t>Fecha_Lectura</t>
  </si>
  <si>
    <t>Lectura Tomada</t>
  </si>
  <si>
    <t>Estado_Pago</t>
  </si>
  <si>
    <t>Monto_Pagado</t>
  </si>
  <si>
    <t>Fecha_Pago</t>
  </si>
  <si>
    <t>Forma_Pago</t>
  </si>
  <si>
    <t>Saldo_Pendiente</t>
  </si>
  <si>
    <t>comprobante_link</t>
  </si>
  <si>
    <t>NO</t>
  </si>
  <si>
    <t>PENDIENTE</t>
  </si>
  <si>
    <t>NO APLICA</t>
  </si>
  <si>
    <t>Periodo</t>
  </si>
  <si>
    <t>PAGADO</t>
  </si>
  <si>
    <t>TRANSFERENCIA</t>
  </si>
  <si>
    <t>EFECTIVO</t>
  </si>
  <si>
    <t>SI</t>
  </si>
  <si>
    <t>PARCIAL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</si>
</sst>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"/>
    <numFmt numFmtId="165" formatCode="&quot;$&quot;#,##0"/>
    <numFmt numFmtId="166" formatCode="dd-mm-yyyy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FAADC"/>
        <bgColor rgb="FF8FAA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1" fillId="0" fontId="2" numFmtId="165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164" xfId="0" applyAlignment="1" applyBorder="1" applyFont="1" applyNumberFormat="1">
      <alignment shrinkToFit="0" vertical="bottom" wrapText="0"/>
    </xf>
    <xf borderId="1" fillId="2" fontId="2" numFmtId="165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3" fontId="4" numFmtId="0" xfId="0" applyAlignment="1" applyFill="1" applyFont="1">
      <alignment horizontal="left" shrinkToFit="0" vertical="bottom" wrapText="0"/>
    </xf>
    <xf borderId="0" fillId="3" fontId="4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5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</dxfs>
  <tableStyles count="12">
    <tableStyle count="4" pivot="0" name="Usu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-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58" displayName="Tabla_2" name="Tabla_2" id="1">
  <tableColumns count="12">
    <tableColumn name="ID" id="1"/>
    <tableColumn name="Nombre" id="2"/>
    <tableColumn name="Primer Apellido" id="3"/>
    <tableColumn name="Segundo Apellido" id="4"/>
    <tableColumn name="RUT" id="5"/>
    <tableColumn name="Telefono" id="6"/>
    <tableColumn name="Email" id="7"/>
    <tableColumn name="Direccion" id="8"/>
    <tableColumn name="Fecha Incorporacion" id="9"/>
    <tableColumn name="Integrantes Hogar" id="10"/>
    <tableColumn name="Estado" id="11"/>
    <tableColumn name="Observaciones" id="12"/>
  </tableColumns>
  <tableStyleInfo name="Usuarios-style" showColumnStripes="0" showFirstColumn="1" showLastColumn="1" showRowStripes="1"/>
</table>
</file>

<file path=xl/tables/table2.xml><?xml version="1.0" encoding="utf-8"?>
<table xmlns="http://schemas.openxmlformats.org/spreadsheetml/2006/main" ref="A1:Q58" displayName="Plantilla" name="Plantilla" id="2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Lectura Tomada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Plantilla-style" showColumnStripes="0" showFirstColumn="1" showLastColumn="1" showRowStripes="1"/>
</table>
</file>

<file path=xl/tables/table3.xml><?xml version="1.0" encoding="utf-8"?>
<table xmlns="http://schemas.openxmlformats.org/spreadsheetml/2006/main" ref="A1:Q58" displayName="Enero_2025" name="Enero_2025" id="3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1-2025-style" showColumnStripes="0" showFirstColumn="1" showLastColumn="1" showRowStripes="1"/>
</table>
</file>

<file path=xl/tables/table4.xml><?xml version="1.0" encoding="utf-8"?>
<table xmlns="http://schemas.openxmlformats.org/spreadsheetml/2006/main" ref="A1:Q58" displayName="Febrero_2025" name="Febrero_2025" id="4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2-2025-style" showColumnStripes="0" showFirstColumn="1" showLastColumn="1" showRowStripes="1"/>
</table>
</file>

<file path=xl/tables/table5.xml><?xml version="1.0" encoding="utf-8"?>
<table xmlns="http://schemas.openxmlformats.org/spreadsheetml/2006/main" ref="A1:Q58" displayName="Marzo_2025" name="Marzo_2025" id="5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3-2025-style" showColumnStripes="0" showFirstColumn="1" showLastColumn="1" showRowStripes="1"/>
</table>
</file>

<file path=xl/tables/table6.xml><?xml version="1.0" encoding="utf-8"?>
<table xmlns="http://schemas.openxmlformats.org/spreadsheetml/2006/main" ref="A1:Q58" displayName="Abril_2025_" name="Abril_2025_" id="6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4-2025-style" showColumnStripes="0" showFirstColumn="1" showLastColumn="1" showRowStripes="1"/>
</table>
</file>

<file path=xl/tables/table7.xml><?xml version="1.0" encoding="utf-8"?>
<table xmlns="http://schemas.openxmlformats.org/spreadsheetml/2006/main" ref="A1:Q58" displayName="Mayo_2025" name="Mayo_2025" id="7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5-2025-style" showColumnStripes="0" showFirstColumn="1" showLastColumn="1" showRowStripes="1"/>
</table>
</file>

<file path=xl/tables/table8.xml><?xml version="1.0" encoding="utf-8"?>
<table xmlns="http://schemas.openxmlformats.org/spreadsheetml/2006/main" ref="A1:Q58" displayName="Junio_2025" name="Junio_2025" id="8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6-2025-style" showColumnStripes="0" showFirstColumn="1" showLastColumn="1" showRowStripes="1"/>
</table>
</file>

<file path=xl/tables/table9.xml><?xml version="1.0" encoding="utf-8"?>
<table xmlns="http://schemas.openxmlformats.org/spreadsheetml/2006/main" ref="A1:Q58" displayName="Julio_2025" name="Julio_2025" id="9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Periodo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7-2025-style" showColumnStripes="0" showFirstColumn="1" showLastColumn="1" showRowStripes="1"/>
</table>
</file>

<file path=xl/tables/table10.xml><?xml version="1.0" encoding="utf-8"?>
<table xmlns="http://schemas.openxmlformats.org/spreadsheetml/2006/main" ref="A1:Q58" displayName="Agosto_2025" name="Agosto_2025" id="10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Lectura Tomada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8-2025-style" showColumnStripes="0" showFirstColumn="1" showLastColumn="1" showRowStripes="1"/>
</table>
</file>

<file path=xl/tables/table11.xml><?xml version="1.0" encoding="utf-8"?>
<table xmlns="http://schemas.openxmlformats.org/spreadsheetml/2006/main" ref="A1:Q59" displayName="Septiembre_2025" name="Septiembre_2025" id="11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Lectura Tomada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09-2025-style" showColumnStripes="0" showFirstColumn="1" showLastColumn="1" showRowStripes="1"/>
</table>
</file>

<file path=xl/tables/table12.xml><?xml version="1.0" encoding="utf-8"?>
<table xmlns="http://schemas.openxmlformats.org/spreadsheetml/2006/main" ref="A1:Q58" displayName="Tabla_1" name="Tabla_1" id="12">
  <tableColumns count="17">
    <tableColumn name="ID" id="1"/>
    <tableColumn name="Nombre" id="2"/>
    <tableColumn name="Lectura_Anterior" id="3"/>
    <tableColumn name="Lectura_Actual" id="4"/>
    <tableColumn name="Consumo_m3" id="5"/>
    <tableColumn name="Tarifa_m3" id="6"/>
    <tableColumn name="Subtotal_Consumo" id="7"/>
    <tableColumn name="Cargo_Fijo" id="8"/>
    <tableColumn name="Total_Factura" id="9"/>
    <tableColumn name="Fecha_Lectura" id="10"/>
    <tableColumn name="Lectura Tomada" id="11"/>
    <tableColumn name="Estado_Pago" id="12"/>
    <tableColumn name="Monto_Pagado" id="13"/>
    <tableColumn name="Fecha_Pago" id="14"/>
    <tableColumn name="Forma_Pago" id="15"/>
    <tableColumn name="Saldo_Pendiente" id="16"/>
    <tableColumn name="comprobante_link" id="17"/>
  </tableColumns>
  <tableStyleInfo name="10-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2.43"/>
    <col customWidth="1" min="3" max="3" width="23.71"/>
    <col customWidth="1" min="4" max="4" width="27.71"/>
    <col customWidth="1" min="5" max="5" width="12.71"/>
    <col customWidth="1" min="6" max="6" width="14.57"/>
    <col customWidth="1" min="7" max="7" width="13.0"/>
    <col customWidth="1" min="8" max="8" width="33.86"/>
    <col customWidth="1" min="9" max="9" width="26.0"/>
    <col customWidth="1" min="10" max="10" width="23.29"/>
    <col customWidth="1" min="11" max="11" width="16.43"/>
    <col customWidth="1" min="12" max="12" width="25.0"/>
    <col customWidth="1" min="13" max="28" width="8.71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>
        <v>1.0</v>
      </c>
      <c r="B2" s="4" t="s">
        <v>12</v>
      </c>
      <c r="C2" s="4" t="s">
        <v>13</v>
      </c>
      <c r="D2" s="4" t="s">
        <v>14</v>
      </c>
      <c r="E2" s="3" t="s">
        <v>15</v>
      </c>
      <c r="F2" s="3">
        <v>9.88584908E8</v>
      </c>
      <c r="G2" s="3"/>
      <c r="H2" s="3" t="s">
        <v>16</v>
      </c>
      <c r="I2" s="3"/>
      <c r="J2" s="3"/>
      <c r="K2" s="5" t="s">
        <v>17</v>
      </c>
      <c r="L2" s="3"/>
    </row>
    <row r="3" ht="22.5" customHeight="1">
      <c r="A3" s="3">
        <v>2.0</v>
      </c>
      <c r="B3" s="4" t="s">
        <v>18</v>
      </c>
      <c r="C3" s="4" t="s">
        <v>19</v>
      </c>
      <c r="D3" s="4" t="s">
        <v>13</v>
      </c>
      <c r="E3" s="3" t="s">
        <v>20</v>
      </c>
      <c r="F3" s="3">
        <v>9.73550328E8</v>
      </c>
      <c r="G3" s="3"/>
      <c r="H3" s="3" t="s">
        <v>21</v>
      </c>
      <c r="I3" s="3"/>
      <c r="J3" s="4">
        <v>3.0</v>
      </c>
      <c r="K3" s="5" t="s">
        <v>17</v>
      </c>
      <c r="L3" s="3"/>
    </row>
    <row r="4" ht="22.5" customHeight="1">
      <c r="A4" s="3">
        <v>3.0</v>
      </c>
      <c r="B4" s="4" t="s">
        <v>22</v>
      </c>
      <c r="C4" s="4" t="s">
        <v>23</v>
      </c>
      <c r="D4" s="3"/>
      <c r="E4" s="3" t="s">
        <v>24</v>
      </c>
      <c r="F4" s="3">
        <v>9.76087017E8</v>
      </c>
      <c r="G4" s="3"/>
      <c r="H4" s="3"/>
      <c r="I4" s="3"/>
      <c r="J4" s="3"/>
      <c r="K4" s="5" t="s">
        <v>17</v>
      </c>
      <c r="L4" s="3"/>
    </row>
    <row r="5" ht="22.5" customHeight="1">
      <c r="A5" s="3">
        <v>4.0</v>
      </c>
      <c r="B5" s="4" t="s">
        <v>25</v>
      </c>
      <c r="C5" s="4" t="s">
        <v>26</v>
      </c>
      <c r="D5" s="3"/>
      <c r="E5" s="3" t="s">
        <v>27</v>
      </c>
      <c r="F5" s="3">
        <v>9.88515396E8</v>
      </c>
      <c r="G5" s="3"/>
      <c r="H5" s="3"/>
      <c r="I5" s="3"/>
      <c r="J5" s="3"/>
      <c r="K5" s="5" t="s">
        <v>17</v>
      </c>
      <c r="L5" s="3"/>
    </row>
    <row r="6" ht="22.5" customHeight="1">
      <c r="A6" s="3">
        <v>5.0</v>
      </c>
      <c r="B6" s="4" t="s">
        <v>28</v>
      </c>
      <c r="C6" s="4" t="s">
        <v>29</v>
      </c>
      <c r="D6" s="3"/>
      <c r="E6" s="3"/>
      <c r="F6" s="3">
        <v>9.76006959E8</v>
      </c>
      <c r="G6" s="3"/>
      <c r="H6" s="3"/>
      <c r="I6" s="3"/>
      <c r="J6" s="3"/>
      <c r="K6" s="5" t="s">
        <v>17</v>
      </c>
      <c r="L6" s="3"/>
    </row>
    <row r="7" ht="22.5" customHeight="1">
      <c r="A7" s="3">
        <v>6.0</v>
      </c>
      <c r="B7" s="4" t="s">
        <v>30</v>
      </c>
      <c r="C7" s="4" t="s">
        <v>31</v>
      </c>
      <c r="D7" s="3"/>
      <c r="E7" s="3"/>
      <c r="F7" s="3">
        <v>9.68619494E8</v>
      </c>
      <c r="G7" s="3"/>
      <c r="H7" s="3"/>
      <c r="I7" s="3"/>
      <c r="J7" s="3"/>
      <c r="K7" s="5" t="s">
        <v>17</v>
      </c>
      <c r="L7" s="3"/>
    </row>
    <row r="8" ht="22.5" customHeight="1">
      <c r="A8" s="3">
        <v>7.0</v>
      </c>
      <c r="B8" s="4" t="s">
        <v>32</v>
      </c>
      <c r="C8" s="4" t="s">
        <v>33</v>
      </c>
      <c r="D8" s="3"/>
      <c r="E8" s="3"/>
      <c r="F8" s="3">
        <v>9.56400315E8</v>
      </c>
      <c r="G8" s="3"/>
      <c r="H8" s="3"/>
      <c r="I8" s="3"/>
      <c r="J8" s="3"/>
      <c r="K8" s="5" t="s">
        <v>17</v>
      </c>
      <c r="L8" s="3"/>
    </row>
    <row r="9" ht="22.5" customHeight="1">
      <c r="A9" s="3">
        <v>8.0</v>
      </c>
      <c r="B9" s="4" t="s">
        <v>34</v>
      </c>
      <c r="C9" s="4" t="s">
        <v>35</v>
      </c>
      <c r="D9" s="3"/>
      <c r="E9" s="3"/>
      <c r="F9" s="3">
        <v>9.95153542E8</v>
      </c>
      <c r="G9" s="3"/>
      <c r="H9" s="3"/>
      <c r="I9" s="3"/>
      <c r="J9" s="3"/>
      <c r="K9" s="5" t="s">
        <v>17</v>
      </c>
      <c r="L9" s="3"/>
    </row>
    <row r="10" ht="22.5" customHeight="1">
      <c r="A10" s="3">
        <v>9.0</v>
      </c>
      <c r="B10" s="4" t="s">
        <v>36</v>
      </c>
      <c r="C10" s="4" t="s">
        <v>37</v>
      </c>
      <c r="D10" s="3"/>
      <c r="E10" s="3"/>
      <c r="F10" s="3">
        <v>9.68619494E8</v>
      </c>
      <c r="G10" s="3"/>
      <c r="H10" s="3"/>
      <c r="I10" s="3"/>
      <c r="J10" s="3"/>
      <c r="K10" s="5" t="s">
        <v>17</v>
      </c>
      <c r="L10" s="3"/>
    </row>
    <row r="11" ht="22.5" customHeight="1">
      <c r="A11" s="3">
        <v>10.0</v>
      </c>
      <c r="B11" s="4" t="s">
        <v>38</v>
      </c>
      <c r="C11" s="4" t="s">
        <v>39</v>
      </c>
      <c r="D11" s="3"/>
      <c r="E11" s="3"/>
      <c r="F11" s="3">
        <v>9.57124563E8</v>
      </c>
      <c r="G11" s="3"/>
      <c r="H11" s="3"/>
      <c r="I11" s="3"/>
      <c r="J11" s="3"/>
      <c r="K11" s="5" t="s">
        <v>17</v>
      </c>
      <c r="L11" s="3"/>
    </row>
    <row r="12" ht="22.5" customHeight="1">
      <c r="A12" s="3">
        <v>11.0</v>
      </c>
      <c r="B12" s="4" t="s">
        <v>40</v>
      </c>
      <c r="C12" s="4" t="s">
        <v>41</v>
      </c>
      <c r="D12" s="3"/>
      <c r="E12" s="3"/>
      <c r="F12" s="3">
        <v>9.87177967E8</v>
      </c>
      <c r="G12" s="3"/>
      <c r="H12" s="3"/>
      <c r="I12" s="3"/>
      <c r="J12" s="3"/>
      <c r="K12" s="5" t="s">
        <v>17</v>
      </c>
      <c r="L12" s="3"/>
    </row>
    <row r="13" ht="22.5" customHeight="1">
      <c r="A13" s="3">
        <v>12.0</v>
      </c>
      <c r="B13" s="4" t="s">
        <v>42</v>
      </c>
      <c r="C13" s="4" t="s">
        <v>43</v>
      </c>
      <c r="D13" s="3"/>
      <c r="E13" s="3"/>
      <c r="F13" s="3">
        <v>9.89964614E8</v>
      </c>
      <c r="G13" s="3"/>
      <c r="H13" s="3"/>
      <c r="I13" s="3"/>
      <c r="J13" s="3"/>
      <c r="K13" s="6" t="s">
        <v>44</v>
      </c>
      <c r="L13" s="3"/>
    </row>
    <row r="14" ht="22.5" customHeight="1">
      <c r="A14" s="3">
        <v>13.0</v>
      </c>
      <c r="B14" s="4" t="s">
        <v>45</v>
      </c>
      <c r="C14" s="4" t="s">
        <v>46</v>
      </c>
      <c r="D14" s="3"/>
      <c r="E14" s="3"/>
      <c r="F14" s="3">
        <v>9.58180175E8</v>
      </c>
      <c r="G14" s="3"/>
      <c r="H14" s="3"/>
      <c r="I14" s="3"/>
      <c r="J14" s="3"/>
      <c r="K14" s="5" t="s">
        <v>17</v>
      </c>
      <c r="L14" s="3"/>
    </row>
    <row r="15" ht="22.5" customHeight="1">
      <c r="A15" s="3">
        <v>14.0</v>
      </c>
      <c r="B15" s="4" t="s">
        <v>47</v>
      </c>
      <c r="C15" s="4" t="s">
        <v>48</v>
      </c>
      <c r="D15" s="3"/>
      <c r="E15" s="3"/>
      <c r="F15" s="3"/>
      <c r="G15" s="3"/>
      <c r="H15" s="3"/>
      <c r="I15" s="3"/>
      <c r="J15" s="3"/>
      <c r="K15" s="5" t="s">
        <v>17</v>
      </c>
      <c r="L15" s="3"/>
    </row>
    <row r="16" ht="22.5" customHeight="1">
      <c r="A16" s="3">
        <v>15.0</v>
      </c>
      <c r="B16" s="4" t="s">
        <v>49</v>
      </c>
      <c r="C16" s="4" t="s">
        <v>50</v>
      </c>
      <c r="D16" s="4" t="s">
        <v>51</v>
      </c>
      <c r="E16" s="3"/>
      <c r="F16" s="3"/>
      <c r="G16" s="3"/>
      <c r="H16" s="3"/>
      <c r="I16" s="3"/>
      <c r="J16" s="3"/>
      <c r="K16" s="5" t="s">
        <v>17</v>
      </c>
      <c r="L16" s="3"/>
    </row>
    <row r="17" ht="22.5" customHeight="1">
      <c r="A17" s="3">
        <v>16.0</v>
      </c>
      <c r="B17" s="4" t="s">
        <v>45</v>
      </c>
      <c r="C17" s="4" t="s">
        <v>52</v>
      </c>
      <c r="D17" s="3"/>
      <c r="E17" s="3"/>
      <c r="F17" s="3">
        <v>9.68603541E8</v>
      </c>
      <c r="G17" s="3"/>
      <c r="H17" s="3"/>
      <c r="I17" s="3"/>
      <c r="J17" s="3"/>
      <c r="K17" s="5" t="s">
        <v>17</v>
      </c>
      <c r="L17" s="3"/>
    </row>
    <row r="18" ht="22.5" customHeight="1">
      <c r="A18" s="3">
        <v>17.0</v>
      </c>
      <c r="B18" s="4" t="s">
        <v>53</v>
      </c>
      <c r="C18" s="4" t="s">
        <v>54</v>
      </c>
      <c r="D18" s="3"/>
      <c r="E18" s="3"/>
      <c r="F18" s="3">
        <v>9.8659701E8</v>
      </c>
      <c r="G18" s="3"/>
      <c r="H18" s="3"/>
      <c r="I18" s="3"/>
      <c r="J18" s="3"/>
      <c r="K18" s="5" t="s">
        <v>17</v>
      </c>
      <c r="L18" s="3"/>
    </row>
    <row r="19" ht="22.5" customHeight="1">
      <c r="A19" s="3">
        <v>18.0</v>
      </c>
      <c r="B19" s="4" t="s">
        <v>55</v>
      </c>
      <c r="C19" s="4" t="s">
        <v>48</v>
      </c>
      <c r="D19" s="3"/>
      <c r="E19" s="3"/>
      <c r="F19" s="3">
        <v>9.652029E8</v>
      </c>
      <c r="G19" s="3"/>
      <c r="H19" s="3"/>
      <c r="I19" s="3"/>
      <c r="J19" s="3"/>
      <c r="K19" s="5" t="s">
        <v>17</v>
      </c>
      <c r="L19" s="3"/>
    </row>
    <row r="20" ht="22.5" customHeight="1">
      <c r="A20" s="3">
        <v>19.0</v>
      </c>
      <c r="B20" s="4" t="s">
        <v>56</v>
      </c>
      <c r="C20" s="4" t="s">
        <v>57</v>
      </c>
      <c r="D20" s="3"/>
      <c r="E20" s="3"/>
      <c r="F20" s="3">
        <v>9.76201354E8</v>
      </c>
      <c r="G20" s="3"/>
      <c r="H20" s="3"/>
      <c r="I20" s="3"/>
      <c r="J20" s="3"/>
      <c r="K20" s="5" t="s">
        <v>17</v>
      </c>
      <c r="L20" s="3"/>
    </row>
    <row r="21" ht="15.75" customHeight="1">
      <c r="A21" s="3">
        <v>20.0</v>
      </c>
      <c r="B21" s="4" t="s">
        <v>58</v>
      </c>
      <c r="C21" s="4" t="s">
        <v>57</v>
      </c>
      <c r="D21" s="3"/>
      <c r="E21" s="3"/>
      <c r="F21" s="3">
        <v>9.76201354E8</v>
      </c>
      <c r="G21" s="3"/>
      <c r="H21" s="3"/>
      <c r="I21" s="3"/>
      <c r="J21" s="3"/>
      <c r="K21" s="5" t="s">
        <v>17</v>
      </c>
      <c r="L21" s="3"/>
    </row>
    <row r="22" ht="15.75" customHeight="1">
      <c r="A22" s="3">
        <v>21.0</v>
      </c>
      <c r="B22" s="4" t="s">
        <v>59</v>
      </c>
      <c r="C22" s="4" t="s">
        <v>60</v>
      </c>
      <c r="D22" s="3"/>
      <c r="E22" s="3"/>
      <c r="F22" s="3"/>
      <c r="G22" s="3"/>
      <c r="H22" s="3"/>
      <c r="I22" s="3"/>
      <c r="J22" s="3"/>
      <c r="K22" s="6" t="s">
        <v>17</v>
      </c>
      <c r="L22" s="3"/>
    </row>
    <row r="23" ht="15.75" customHeight="1">
      <c r="A23" s="3">
        <v>22.0</v>
      </c>
      <c r="B23" s="4" t="s">
        <v>61</v>
      </c>
      <c r="C23" s="4" t="s">
        <v>62</v>
      </c>
      <c r="D23" s="3"/>
      <c r="E23" s="3"/>
      <c r="F23" s="3">
        <v>9.76087017E8</v>
      </c>
      <c r="G23" s="3"/>
      <c r="H23" s="3"/>
      <c r="I23" s="3"/>
      <c r="J23" s="3"/>
      <c r="K23" s="5" t="s">
        <v>17</v>
      </c>
      <c r="L23" s="3"/>
    </row>
    <row r="24" ht="15.75" customHeight="1">
      <c r="A24" s="3">
        <v>23.0</v>
      </c>
      <c r="B24" s="4" t="s">
        <v>45</v>
      </c>
      <c r="C24" s="4" t="s">
        <v>63</v>
      </c>
      <c r="D24" s="3"/>
      <c r="E24" s="3"/>
      <c r="F24" s="3">
        <v>9.92904575E8</v>
      </c>
      <c r="G24" s="3"/>
      <c r="H24" s="3"/>
      <c r="I24" s="3"/>
      <c r="J24" s="3"/>
      <c r="K24" s="5" t="s">
        <v>17</v>
      </c>
      <c r="L24" s="3"/>
    </row>
    <row r="25" ht="15.75" customHeight="1">
      <c r="A25" s="3">
        <v>24.0</v>
      </c>
      <c r="B25" s="4" t="s">
        <v>64</v>
      </c>
      <c r="C25" s="4" t="s">
        <v>65</v>
      </c>
      <c r="D25" s="4" t="s">
        <v>66</v>
      </c>
      <c r="E25" s="3"/>
      <c r="F25" s="3">
        <v>9.76065837E8</v>
      </c>
      <c r="G25" s="3"/>
      <c r="H25" s="3"/>
      <c r="I25" s="3"/>
      <c r="J25" s="3"/>
      <c r="K25" s="5" t="s">
        <v>17</v>
      </c>
      <c r="L25" s="3"/>
    </row>
    <row r="26" ht="15.75" customHeight="1">
      <c r="A26" s="3">
        <v>25.0</v>
      </c>
      <c r="B26" s="4" t="s">
        <v>67</v>
      </c>
      <c r="C26" s="4" t="s">
        <v>68</v>
      </c>
      <c r="D26" s="3"/>
      <c r="E26" s="3"/>
      <c r="F26" s="3"/>
      <c r="G26" s="3"/>
      <c r="H26" s="3"/>
      <c r="I26" s="3"/>
      <c r="J26" s="3"/>
      <c r="K26" s="5" t="s">
        <v>17</v>
      </c>
      <c r="L26" s="3"/>
    </row>
    <row r="27" ht="15.75" customHeight="1">
      <c r="A27" s="3">
        <v>26.0</v>
      </c>
      <c r="B27" s="4" t="s">
        <v>69</v>
      </c>
      <c r="C27" s="4" t="s">
        <v>70</v>
      </c>
      <c r="D27" s="3"/>
      <c r="E27" s="3"/>
      <c r="F27" s="3">
        <v>9.97031231E8</v>
      </c>
      <c r="G27" s="3"/>
      <c r="H27" s="3" t="s">
        <v>71</v>
      </c>
      <c r="I27" s="3"/>
      <c r="J27" s="3"/>
      <c r="K27" s="6" t="s">
        <v>44</v>
      </c>
      <c r="L27" s="3"/>
    </row>
    <row r="28" ht="15.75" customHeight="1">
      <c r="A28" s="3">
        <v>27.0</v>
      </c>
      <c r="B28" s="4" t="s">
        <v>42</v>
      </c>
      <c r="C28" s="4" t="s">
        <v>72</v>
      </c>
      <c r="D28" s="3"/>
      <c r="E28" s="3"/>
      <c r="F28" s="3"/>
      <c r="G28" s="3"/>
      <c r="H28" s="3"/>
      <c r="I28" s="3"/>
      <c r="J28" s="3"/>
      <c r="K28" s="5" t="s">
        <v>17</v>
      </c>
      <c r="L28" s="3"/>
    </row>
    <row r="29" ht="15.75" customHeight="1">
      <c r="A29" s="3">
        <v>28.0</v>
      </c>
      <c r="B29" s="4" t="s">
        <v>73</v>
      </c>
      <c r="C29" s="4" t="s">
        <v>41</v>
      </c>
      <c r="D29" s="3"/>
      <c r="E29" s="3"/>
      <c r="F29" s="3"/>
      <c r="G29" s="3"/>
      <c r="H29" s="3"/>
      <c r="I29" s="3"/>
      <c r="J29" s="3"/>
      <c r="K29" s="5" t="s">
        <v>17</v>
      </c>
      <c r="L29" s="3"/>
    </row>
    <row r="30" ht="15.75" customHeight="1">
      <c r="A30" s="3">
        <v>29.0</v>
      </c>
      <c r="B30" s="4" t="s">
        <v>74</v>
      </c>
      <c r="C30" s="4" t="s">
        <v>75</v>
      </c>
      <c r="D30" s="3"/>
      <c r="E30" s="3"/>
      <c r="F30" s="3">
        <v>9.98962803E8</v>
      </c>
      <c r="G30" s="3"/>
      <c r="H30" s="3"/>
      <c r="I30" s="3"/>
      <c r="J30" s="3"/>
      <c r="K30" s="5" t="s">
        <v>17</v>
      </c>
      <c r="L30" s="3"/>
    </row>
    <row r="31" ht="15.75" customHeight="1">
      <c r="A31" s="3">
        <v>30.0</v>
      </c>
      <c r="B31" s="4" t="s">
        <v>76</v>
      </c>
      <c r="C31" s="4" t="s">
        <v>77</v>
      </c>
      <c r="D31" s="3"/>
      <c r="E31" s="3"/>
      <c r="F31" s="3">
        <v>9.65913448E8</v>
      </c>
      <c r="G31" s="3"/>
      <c r="H31" s="3"/>
      <c r="I31" s="3"/>
      <c r="J31" s="3"/>
      <c r="K31" s="5" t="s">
        <v>17</v>
      </c>
      <c r="L31" s="3"/>
    </row>
    <row r="32" ht="15.75" customHeight="1">
      <c r="A32" s="3">
        <v>31.0</v>
      </c>
      <c r="B32" s="4" t="s">
        <v>78</v>
      </c>
      <c r="C32" s="4" t="s">
        <v>79</v>
      </c>
      <c r="D32" s="4" t="s">
        <v>80</v>
      </c>
      <c r="E32" s="3"/>
      <c r="F32" s="3">
        <v>9.96147837E8</v>
      </c>
      <c r="G32" s="3"/>
      <c r="H32" s="3"/>
      <c r="I32" s="3"/>
      <c r="J32" s="3"/>
      <c r="K32" s="5" t="s">
        <v>17</v>
      </c>
      <c r="L32" s="3"/>
    </row>
    <row r="33" ht="15.75" customHeight="1">
      <c r="A33" s="3">
        <v>32.0</v>
      </c>
      <c r="B33" s="4" t="s">
        <v>81</v>
      </c>
      <c r="C33" s="4" t="s">
        <v>82</v>
      </c>
      <c r="D33" s="3"/>
      <c r="E33" s="3"/>
      <c r="F33" s="3">
        <v>9.85961781E8</v>
      </c>
      <c r="G33" s="3"/>
      <c r="H33" s="3"/>
      <c r="I33" s="3"/>
      <c r="J33" s="3"/>
      <c r="K33" s="5" t="s">
        <v>17</v>
      </c>
      <c r="L33" s="3"/>
    </row>
    <row r="34" ht="15.75" customHeight="1">
      <c r="A34" s="3">
        <v>33.0</v>
      </c>
      <c r="B34" s="4" t="s">
        <v>83</v>
      </c>
      <c r="C34" s="4" t="s">
        <v>84</v>
      </c>
      <c r="D34" s="4" t="s">
        <v>72</v>
      </c>
      <c r="E34" s="3"/>
      <c r="F34" s="3">
        <v>9.94727047E8</v>
      </c>
      <c r="G34" s="3"/>
      <c r="H34" s="3"/>
      <c r="I34" s="3"/>
      <c r="J34" s="3"/>
      <c r="K34" s="5" t="s">
        <v>17</v>
      </c>
      <c r="L34" s="3"/>
    </row>
    <row r="35" ht="15.75" customHeight="1">
      <c r="A35" s="3">
        <v>34.0</v>
      </c>
      <c r="B35" s="4" t="s">
        <v>85</v>
      </c>
      <c r="C35" s="4" t="s">
        <v>86</v>
      </c>
      <c r="D35" s="3"/>
      <c r="E35" s="3"/>
      <c r="F35" s="3">
        <v>9.77891512E8</v>
      </c>
      <c r="G35" s="3"/>
      <c r="H35" s="3"/>
      <c r="I35" s="3"/>
      <c r="J35" s="3"/>
      <c r="K35" s="5" t="s">
        <v>17</v>
      </c>
      <c r="L35" s="3"/>
    </row>
    <row r="36" ht="15.75" customHeight="1">
      <c r="A36" s="3">
        <v>35.0</v>
      </c>
      <c r="B36" s="4" t="s">
        <v>87</v>
      </c>
      <c r="C36" s="4" t="s">
        <v>88</v>
      </c>
      <c r="D36" s="3"/>
      <c r="E36" s="3"/>
      <c r="F36" s="3"/>
      <c r="G36" s="3"/>
      <c r="H36" s="3"/>
      <c r="I36" s="3"/>
      <c r="J36" s="3"/>
      <c r="K36" s="5" t="s">
        <v>17</v>
      </c>
      <c r="L36" s="3"/>
    </row>
    <row r="37" ht="15.75" customHeight="1">
      <c r="A37" s="3">
        <v>36.0</v>
      </c>
      <c r="B37" s="4" t="s">
        <v>89</v>
      </c>
      <c r="C37" s="4" t="s">
        <v>84</v>
      </c>
      <c r="D37" s="4" t="s">
        <v>82</v>
      </c>
      <c r="E37" s="3"/>
      <c r="F37" s="3"/>
      <c r="G37" s="3"/>
      <c r="H37" s="3"/>
      <c r="I37" s="3"/>
      <c r="J37" s="3"/>
      <c r="K37" s="5" t="s">
        <v>17</v>
      </c>
      <c r="L37" s="3"/>
    </row>
    <row r="38" ht="15.75" customHeight="1">
      <c r="A38" s="3">
        <v>37.0</v>
      </c>
      <c r="B38" s="4" t="s">
        <v>90</v>
      </c>
      <c r="C38" s="4" t="s">
        <v>91</v>
      </c>
      <c r="D38" s="4" t="s">
        <v>92</v>
      </c>
      <c r="E38" s="3"/>
      <c r="F38" s="3"/>
      <c r="G38" s="3"/>
      <c r="H38" s="3"/>
      <c r="I38" s="3"/>
      <c r="J38" s="3"/>
      <c r="K38" s="5" t="s">
        <v>17</v>
      </c>
      <c r="L38" s="3"/>
    </row>
    <row r="39" ht="15.75" customHeight="1">
      <c r="A39" s="3">
        <v>38.0</v>
      </c>
      <c r="B39" s="4" t="s">
        <v>93</v>
      </c>
      <c r="C39" s="4" t="s">
        <v>94</v>
      </c>
      <c r="D39" s="3"/>
      <c r="E39" s="3"/>
      <c r="F39" s="3">
        <v>9.79958848E8</v>
      </c>
      <c r="G39" s="3"/>
      <c r="H39" s="3"/>
      <c r="I39" s="3"/>
      <c r="J39" s="3"/>
      <c r="K39" s="5" t="s">
        <v>17</v>
      </c>
      <c r="L39" s="3"/>
    </row>
    <row r="40" ht="15.75" customHeight="1">
      <c r="A40" s="3">
        <v>39.0</v>
      </c>
      <c r="B40" s="4" t="s">
        <v>95</v>
      </c>
      <c r="C40" s="4" t="s">
        <v>91</v>
      </c>
      <c r="D40" s="3"/>
      <c r="E40" s="3"/>
      <c r="F40" s="3"/>
      <c r="G40" s="3"/>
      <c r="H40" s="3"/>
      <c r="I40" s="3"/>
      <c r="J40" s="3"/>
      <c r="K40" s="5" t="s">
        <v>17</v>
      </c>
      <c r="L40" s="3"/>
    </row>
    <row r="41" ht="15.75" customHeight="1">
      <c r="A41" s="3">
        <v>40.0</v>
      </c>
      <c r="B41" s="4" t="s">
        <v>95</v>
      </c>
      <c r="C41" s="4" t="s">
        <v>96</v>
      </c>
      <c r="D41" s="3"/>
      <c r="E41" s="3"/>
      <c r="F41" s="3">
        <v>9.86531665E8</v>
      </c>
      <c r="G41" s="3"/>
      <c r="H41" s="3"/>
      <c r="I41" s="3"/>
      <c r="J41" s="3"/>
      <c r="K41" s="5" t="s">
        <v>17</v>
      </c>
      <c r="L41" s="3"/>
    </row>
    <row r="42" ht="15.75" customHeight="1">
      <c r="A42" s="3">
        <v>41.0</v>
      </c>
      <c r="B42" s="4" t="s">
        <v>97</v>
      </c>
      <c r="C42" s="4" t="s">
        <v>98</v>
      </c>
      <c r="D42" s="3"/>
      <c r="E42" s="3"/>
      <c r="F42" s="3">
        <v>9.68197477E8</v>
      </c>
      <c r="G42" s="3"/>
      <c r="H42" s="3"/>
      <c r="I42" s="3"/>
      <c r="J42" s="3"/>
      <c r="K42" s="5" t="s">
        <v>17</v>
      </c>
      <c r="L42" s="3"/>
    </row>
    <row r="43" ht="15.75" customHeight="1">
      <c r="A43" s="3">
        <v>42.0</v>
      </c>
      <c r="B43" s="4" t="s">
        <v>99</v>
      </c>
      <c r="C43" s="4" t="s">
        <v>82</v>
      </c>
      <c r="D43" s="3"/>
      <c r="E43" s="3"/>
      <c r="F43" s="3"/>
      <c r="G43" s="3"/>
      <c r="H43" s="3"/>
      <c r="I43" s="3"/>
      <c r="J43" s="3"/>
      <c r="K43" s="5" t="s">
        <v>17</v>
      </c>
      <c r="L43" s="3"/>
    </row>
    <row r="44" ht="15.75" customHeight="1">
      <c r="A44" s="3">
        <v>43.0</v>
      </c>
      <c r="B44" s="4" t="s">
        <v>100</v>
      </c>
      <c r="C44" s="4" t="s">
        <v>77</v>
      </c>
      <c r="D44" s="3"/>
      <c r="E44" s="3"/>
      <c r="F44" s="3"/>
      <c r="G44" s="3"/>
      <c r="H44" s="3"/>
      <c r="I44" s="3"/>
      <c r="J44" s="3"/>
      <c r="K44" s="5" t="s">
        <v>17</v>
      </c>
      <c r="L44" s="3"/>
    </row>
    <row r="45" ht="15.75" customHeight="1">
      <c r="A45" s="3">
        <v>44.0</v>
      </c>
      <c r="B45" s="4" t="s">
        <v>101</v>
      </c>
      <c r="C45" s="4" t="s">
        <v>102</v>
      </c>
      <c r="D45" s="3"/>
      <c r="E45" s="3"/>
      <c r="F45" s="3"/>
      <c r="G45" s="3"/>
      <c r="H45" s="3"/>
      <c r="I45" s="3"/>
      <c r="J45" s="3"/>
      <c r="K45" s="5" t="s">
        <v>17</v>
      </c>
      <c r="L45" s="3"/>
    </row>
    <row r="46" ht="15.75" customHeight="1">
      <c r="A46" s="3">
        <v>45.0</v>
      </c>
      <c r="B46" s="4" t="s">
        <v>103</v>
      </c>
      <c r="C46" s="4" t="s">
        <v>104</v>
      </c>
      <c r="D46" s="3"/>
      <c r="E46" s="3"/>
      <c r="F46" s="3">
        <v>9.83607418E8</v>
      </c>
      <c r="G46" s="3"/>
      <c r="H46" s="3"/>
      <c r="I46" s="3"/>
      <c r="J46" s="3"/>
      <c r="K46" s="5" t="s">
        <v>17</v>
      </c>
      <c r="L46" s="3"/>
    </row>
    <row r="47" ht="15.75" customHeight="1">
      <c r="A47" s="3">
        <v>46.0</v>
      </c>
      <c r="B47" s="4" t="s">
        <v>30</v>
      </c>
      <c r="C47" s="4" t="s">
        <v>105</v>
      </c>
      <c r="D47" s="3"/>
      <c r="E47" s="3"/>
      <c r="F47" s="3">
        <v>9.68619494E8</v>
      </c>
      <c r="G47" s="3"/>
      <c r="H47" s="3"/>
      <c r="I47" s="3"/>
      <c r="J47" s="3"/>
      <c r="K47" s="5" t="s">
        <v>17</v>
      </c>
      <c r="L47" s="3"/>
    </row>
    <row r="48" ht="15.75" customHeight="1">
      <c r="A48" s="3">
        <v>47.0</v>
      </c>
      <c r="B48" s="4" t="s">
        <v>106</v>
      </c>
      <c r="C48" s="4" t="s">
        <v>43</v>
      </c>
      <c r="D48" s="3"/>
      <c r="E48" s="3"/>
      <c r="F48" s="3">
        <v>9.36973078E8</v>
      </c>
      <c r="G48" s="3"/>
      <c r="H48" s="3"/>
      <c r="I48" s="3"/>
      <c r="J48" s="3"/>
      <c r="K48" s="5" t="s">
        <v>17</v>
      </c>
      <c r="L48" s="3"/>
    </row>
    <row r="49" ht="15.75" customHeight="1">
      <c r="A49" s="3">
        <v>48.0</v>
      </c>
      <c r="B49" s="4" t="s">
        <v>107</v>
      </c>
      <c r="C49" s="4" t="s">
        <v>108</v>
      </c>
      <c r="D49" s="4" t="s">
        <v>31</v>
      </c>
      <c r="E49" s="3"/>
      <c r="F49" s="3">
        <v>9.66470486E8</v>
      </c>
      <c r="G49" s="3"/>
      <c r="H49" s="3"/>
      <c r="I49" s="3"/>
      <c r="J49" s="3"/>
      <c r="K49" s="5" t="s">
        <v>17</v>
      </c>
      <c r="L49" s="3"/>
    </row>
    <row r="50" ht="15.75" customHeight="1">
      <c r="A50" s="3">
        <v>49.0</v>
      </c>
      <c r="B50" s="4" t="s">
        <v>109</v>
      </c>
      <c r="C50" s="4" t="s">
        <v>110</v>
      </c>
      <c r="D50" s="3"/>
      <c r="E50" s="3"/>
      <c r="F50" s="3"/>
      <c r="G50" s="3"/>
      <c r="H50" s="3"/>
      <c r="I50" s="3"/>
      <c r="J50" s="3"/>
      <c r="K50" s="5" t="s">
        <v>17</v>
      </c>
      <c r="L50" s="3"/>
    </row>
    <row r="51" ht="15.75" customHeight="1">
      <c r="A51" s="3">
        <v>50.0</v>
      </c>
      <c r="B51" s="4" t="s">
        <v>111</v>
      </c>
      <c r="C51" s="4" t="s">
        <v>65</v>
      </c>
      <c r="D51" s="4" t="s">
        <v>72</v>
      </c>
      <c r="E51" s="3" t="s">
        <v>112</v>
      </c>
      <c r="F51" s="3">
        <v>9.67897918E8</v>
      </c>
      <c r="G51" s="3"/>
      <c r="H51" s="3" t="s">
        <v>113</v>
      </c>
      <c r="I51" s="3"/>
      <c r="J51" s="3"/>
      <c r="K51" s="5" t="s">
        <v>17</v>
      </c>
      <c r="L51" s="3"/>
    </row>
    <row r="52" ht="15.75" customHeight="1">
      <c r="A52" s="3">
        <v>51.0</v>
      </c>
      <c r="B52" s="4" t="s">
        <v>36</v>
      </c>
      <c r="C52" s="4" t="s">
        <v>114</v>
      </c>
      <c r="D52" s="3"/>
      <c r="E52" s="3"/>
      <c r="F52" s="3">
        <v>9.73351014E8</v>
      </c>
      <c r="G52" s="3"/>
      <c r="H52" s="3" t="s">
        <v>113</v>
      </c>
      <c r="I52" s="3"/>
      <c r="J52" s="3"/>
      <c r="K52" s="5" t="s">
        <v>17</v>
      </c>
      <c r="L52" s="3"/>
    </row>
    <row r="53" ht="15.75" customHeight="1">
      <c r="A53" s="3">
        <v>52.0</v>
      </c>
      <c r="B53" s="4" t="s">
        <v>115</v>
      </c>
      <c r="C53" s="4" t="s">
        <v>116</v>
      </c>
      <c r="D53" s="4" t="s">
        <v>96</v>
      </c>
      <c r="E53" s="3"/>
      <c r="F53" s="3">
        <v>9.76368582E8</v>
      </c>
      <c r="G53" s="3"/>
      <c r="H53" s="3"/>
      <c r="I53" s="3"/>
      <c r="J53" s="3"/>
      <c r="K53" s="5" t="s">
        <v>17</v>
      </c>
      <c r="L53" s="3"/>
    </row>
    <row r="54" ht="15.75" customHeight="1">
      <c r="A54" s="3">
        <v>53.0</v>
      </c>
      <c r="B54" s="4" t="s">
        <v>117</v>
      </c>
      <c r="C54" s="4" t="s">
        <v>118</v>
      </c>
      <c r="D54" s="4" t="s">
        <v>119</v>
      </c>
      <c r="E54" s="3"/>
      <c r="F54" s="3">
        <v>9.53848425E8</v>
      </c>
      <c r="G54" s="3"/>
      <c r="H54" s="3" t="s">
        <v>120</v>
      </c>
      <c r="I54" s="3"/>
      <c r="J54" s="3"/>
      <c r="K54" s="5" t="s">
        <v>17</v>
      </c>
      <c r="L54" s="3"/>
    </row>
    <row r="55" ht="15.75" customHeight="1">
      <c r="A55" s="3">
        <v>54.0</v>
      </c>
      <c r="B55" s="4" t="s">
        <v>109</v>
      </c>
      <c r="C55" s="4" t="s">
        <v>92</v>
      </c>
      <c r="D55" s="3"/>
      <c r="E55" s="3"/>
      <c r="F55" s="3">
        <v>9.31428027E8</v>
      </c>
      <c r="G55" s="3"/>
      <c r="H55" s="3" t="s">
        <v>121</v>
      </c>
      <c r="I55" s="3"/>
      <c r="J55" s="3"/>
      <c r="K55" s="5" t="s">
        <v>17</v>
      </c>
      <c r="L55" s="3"/>
    </row>
    <row r="56" ht="15.75" customHeight="1">
      <c r="A56" s="3">
        <v>55.0</v>
      </c>
      <c r="B56" s="4" t="s">
        <v>69</v>
      </c>
      <c r="C56" s="4" t="s">
        <v>122</v>
      </c>
      <c r="D56" s="3"/>
      <c r="E56" s="3"/>
      <c r="F56" s="3"/>
      <c r="G56" s="3"/>
      <c r="H56" s="3"/>
      <c r="I56" s="3"/>
      <c r="J56" s="3"/>
      <c r="K56" s="5" t="s">
        <v>17</v>
      </c>
      <c r="L56" s="3"/>
    </row>
    <row r="57" ht="15.75" customHeight="1">
      <c r="A57" s="3">
        <v>56.0</v>
      </c>
      <c r="B57" s="4" t="s">
        <v>123</v>
      </c>
      <c r="C57" s="4" t="s">
        <v>68</v>
      </c>
      <c r="D57" s="3"/>
      <c r="E57" s="3"/>
      <c r="F57" s="3">
        <v>9.33288507E8</v>
      </c>
      <c r="G57" s="3"/>
      <c r="H57" s="3"/>
      <c r="I57" s="3"/>
      <c r="J57" s="3"/>
      <c r="K57" s="5" t="s">
        <v>17</v>
      </c>
      <c r="L57" s="3"/>
    </row>
    <row r="58" ht="15.75" customHeight="1">
      <c r="A58" s="3">
        <v>57.0</v>
      </c>
      <c r="B58" s="4" t="s">
        <v>124</v>
      </c>
      <c r="C58" s="4" t="s">
        <v>125</v>
      </c>
      <c r="D58" s="4" t="s">
        <v>126</v>
      </c>
      <c r="E58" s="3"/>
      <c r="F58" s="3">
        <v>5.693701593E10</v>
      </c>
      <c r="G58" s="3"/>
      <c r="H58" s="3"/>
      <c r="I58" s="3"/>
      <c r="J58" s="3"/>
      <c r="K58" s="5" t="s">
        <v>17</v>
      </c>
      <c r="L58" s="3"/>
    </row>
    <row r="59" ht="15.75" customHeight="1">
      <c r="A59" s="7"/>
      <c r="B59" s="8"/>
      <c r="C59" s="8"/>
      <c r="D59" s="8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2:K58">
      <formula1>"Activo,Inactivo,Suspendido"</formula1>
    </dataValidation>
    <dataValidation type="list" allowBlank="1" sqref="K59:K101">
      <formula1>"Activo,Inactivo,Suspendido"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  <col customWidth="1" min="3" max="3" width="29.29"/>
    <col customWidth="1" min="4" max="4" width="23.0"/>
    <col customWidth="1" min="5" max="5" width="22.0"/>
    <col customWidth="1" min="6" max="6" width="18.57"/>
    <col customWidth="1" min="7" max="7" width="17.86"/>
    <col customWidth="1" min="8" max="8" width="19.14"/>
    <col customWidth="1" min="9" max="9" width="17.57"/>
    <col customWidth="1" min="10" max="10" width="13.0"/>
    <col customWidth="1" min="11" max="11" width="18.43"/>
    <col customWidth="1" min="12" max="12" width="21.14"/>
    <col customWidth="1" min="13" max="13" width="38.71"/>
    <col customWidth="1" min="14" max="14" width="21.71"/>
    <col customWidth="1" min="15" max="15" width="18.0"/>
    <col customWidth="1" min="16" max="16" width="25.86"/>
    <col customWidth="1" min="17" max="17" width="24.43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11">
        <v>41.0</v>
      </c>
      <c r="B2" s="12" t="str">
        <f>Usuarios!B42 &amp; " " &amp; Usuarios!C42 &amp; " " &amp; Usuarios!D42
</f>
        <v>Astrid  Gomez </v>
      </c>
      <c r="C2" s="11" t="str">
        <f t="shared" ref="C2:C57" si="1">INDEX(INDIRECT("'" &amp; TEXT(EDATE(J2,-2),"mm-yyyy") &amp; "'!D:D"),
   MATCH(A2,INDIRECT("'" &amp; TEXT(EDATE(J2,-2),"mm-yyyy") &amp; "'!A:A"),0))
</f>
        <v>#NUM!</v>
      </c>
      <c r="D2" s="13"/>
      <c r="E2" s="11" t="str">
        <f t="shared" ref="E2:E16" si="2">D2-C2</f>
        <v>#NUM!</v>
      </c>
      <c r="F2" s="14">
        <v>1182.6</v>
      </c>
      <c r="G2" s="11" t="str">
        <f t="shared" ref="G2:G16" si="3">E2*F2</f>
        <v>#NUM!</v>
      </c>
      <c r="H2" s="15">
        <v>5000.0</v>
      </c>
      <c r="I2" s="11" t="str">
        <f t="shared" ref="I2:I16" si="4">E2*F2+H2</f>
        <v>#NUM!</v>
      </c>
      <c r="J2" s="16"/>
      <c r="K2" s="17" t="s">
        <v>142</v>
      </c>
      <c r="L2" s="17" t="s">
        <v>143</v>
      </c>
      <c r="M2" s="15">
        <f t="shared" ref="M2:M16" si="5">IF(L2="Pagado", I2, 0)</f>
        <v>0</v>
      </c>
      <c r="N2" s="12"/>
      <c r="O2" s="12"/>
      <c r="P2" s="15" t="str">
        <f t="shared" ref="P2:P16" si="6">IF(L2="NO APLICA",0, (I2-M2))</f>
        <v>#NUM!</v>
      </c>
      <c r="Q2" s="15"/>
    </row>
    <row r="3" ht="22.5" customHeight="1">
      <c r="A3" s="11">
        <v>16.0</v>
      </c>
      <c r="B3" s="12" t="str">
        <f>Usuarios!B17 &amp; " " &amp; Usuarios!C17 &amp; " " &amp; Usuarios!D17
</f>
        <v>Carlos  Agüero </v>
      </c>
      <c r="C3" s="11" t="str">
        <f t="shared" si="1"/>
        <v>#NUM!</v>
      </c>
      <c r="D3" s="13"/>
      <c r="E3" s="11" t="str">
        <f t="shared" si="2"/>
        <v>#NUM!</v>
      </c>
      <c r="F3" s="14">
        <v>1182.6</v>
      </c>
      <c r="G3" s="11" t="str">
        <f t="shared" si="3"/>
        <v>#NUM!</v>
      </c>
      <c r="H3" s="15">
        <v>5000.0</v>
      </c>
      <c r="I3" s="11" t="str">
        <f t="shared" si="4"/>
        <v>#NUM!</v>
      </c>
      <c r="J3" s="16"/>
      <c r="K3" s="17" t="s">
        <v>142</v>
      </c>
      <c r="L3" s="17" t="s">
        <v>143</v>
      </c>
      <c r="M3" s="15">
        <f t="shared" si="5"/>
        <v>0</v>
      </c>
      <c r="N3" s="12"/>
      <c r="O3" s="12"/>
      <c r="P3" s="15" t="str">
        <f t="shared" si="6"/>
        <v>#NUM!</v>
      </c>
      <c r="Q3" s="15"/>
    </row>
    <row r="4" ht="22.5" customHeight="1">
      <c r="A4" s="11">
        <v>13.0</v>
      </c>
      <c r="B4" s="12" t="str">
        <f>Usuarios!B14 &amp; " " &amp; Usuarios!C14 &amp; " " &amp; Usuarios!D14
</f>
        <v>Carlos  Gamin </v>
      </c>
      <c r="C4" s="11" t="str">
        <f t="shared" si="1"/>
        <v>#NUM!</v>
      </c>
      <c r="D4" s="13"/>
      <c r="E4" s="11" t="str">
        <f t="shared" si="2"/>
        <v>#NUM!</v>
      </c>
      <c r="F4" s="14">
        <v>1182.6</v>
      </c>
      <c r="G4" s="11" t="str">
        <f t="shared" si="3"/>
        <v>#NUM!</v>
      </c>
      <c r="H4" s="15">
        <v>5000.0</v>
      </c>
      <c r="I4" s="11" t="str">
        <f t="shared" si="4"/>
        <v>#NUM!</v>
      </c>
      <c r="J4" s="16"/>
      <c r="K4" s="17" t="s">
        <v>142</v>
      </c>
      <c r="L4" s="17" t="s">
        <v>143</v>
      </c>
      <c r="M4" s="15">
        <f t="shared" si="5"/>
        <v>0</v>
      </c>
      <c r="N4" s="12"/>
      <c r="O4" s="12"/>
      <c r="P4" s="15" t="str">
        <f t="shared" si="6"/>
        <v>#NUM!</v>
      </c>
      <c r="Q4" s="15"/>
    </row>
    <row r="5" ht="22.5" customHeight="1">
      <c r="A5" s="11">
        <v>23.0</v>
      </c>
      <c r="B5" s="12" t="str">
        <f>Usuarios!B24 &amp; " " &amp; Usuarios!C24 &amp; " " &amp; Usuarios!D24
</f>
        <v>Carlos  Nahuelpan </v>
      </c>
      <c r="C5" s="11" t="str">
        <f t="shared" si="1"/>
        <v>#NUM!</v>
      </c>
      <c r="D5" s="13"/>
      <c r="E5" s="11" t="str">
        <f t="shared" si="2"/>
        <v>#NUM!</v>
      </c>
      <c r="F5" s="14">
        <v>1182.6</v>
      </c>
      <c r="G5" s="11" t="str">
        <f t="shared" si="3"/>
        <v>#NUM!</v>
      </c>
      <c r="H5" s="15">
        <v>5000.0</v>
      </c>
      <c r="I5" s="11" t="str">
        <f t="shared" si="4"/>
        <v>#NUM!</v>
      </c>
      <c r="J5" s="16"/>
      <c r="K5" s="17" t="s">
        <v>142</v>
      </c>
      <c r="L5" s="17" t="s">
        <v>143</v>
      </c>
      <c r="M5" s="15">
        <f t="shared" si="5"/>
        <v>0</v>
      </c>
      <c r="N5" s="12"/>
      <c r="O5" s="12"/>
      <c r="P5" s="15" t="str">
        <f t="shared" si="6"/>
        <v>#NUM!</v>
      </c>
      <c r="Q5" s="15"/>
    </row>
    <row r="6" ht="22.5" customHeight="1">
      <c r="A6" s="11">
        <v>4.0</v>
      </c>
      <c r="B6" s="12" t="str">
        <f>Usuarios!B5 &amp; " " &amp; Usuarios!C5 &amp; " " &amp; Usuarios!D5
</f>
        <v>Cristian  Oyarzo </v>
      </c>
      <c r="C6" s="11" t="str">
        <f t="shared" si="1"/>
        <v>#NUM!</v>
      </c>
      <c r="D6" s="13"/>
      <c r="E6" s="11" t="str">
        <f t="shared" si="2"/>
        <v>#NUM!</v>
      </c>
      <c r="F6" s="14">
        <v>1182.6</v>
      </c>
      <c r="G6" s="11" t="str">
        <f t="shared" si="3"/>
        <v>#NUM!</v>
      </c>
      <c r="H6" s="15">
        <v>5000.0</v>
      </c>
      <c r="I6" s="11" t="str">
        <f t="shared" si="4"/>
        <v>#NUM!</v>
      </c>
      <c r="J6" s="16"/>
      <c r="K6" s="17" t="s">
        <v>142</v>
      </c>
      <c r="L6" s="17" t="s">
        <v>143</v>
      </c>
      <c r="M6" s="15">
        <f t="shared" si="5"/>
        <v>0</v>
      </c>
      <c r="N6" s="12"/>
      <c r="O6" s="12"/>
      <c r="P6" s="15" t="str">
        <f t="shared" si="6"/>
        <v>#NUM!</v>
      </c>
      <c r="Q6" s="15"/>
    </row>
    <row r="7" ht="22.5" customHeight="1">
      <c r="A7" s="11">
        <v>36.0</v>
      </c>
      <c r="B7" s="12" t="str">
        <f>Usuarios!B37 &amp; " " &amp; Usuarios!C37 &amp; " " &amp; Usuarios!D37
</f>
        <v>Danilo  Soto  Soto</v>
      </c>
      <c r="C7" s="11" t="str">
        <f t="shared" si="1"/>
        <v>#NUM!</v>
      </c>
      <c r="D7" s="13"/>
      <c r="E7" s="11" t="str">
        <f t="shared" si="2"/>
        <v>#NUM!</v>
      </c>
      <c r="F7" s="14">
        <v>1182.6</v>
      </c>
      <c r="G7" s="11" t="str">
        <f t="shared" si="3"/>
        <v>#NUM!</v>
      </c>
      <c r="H7" s="15">
        <v>5000.0</v>
      </c>
      <c r="I7" s="11" t="str">
        <f t="shared" si="4"/>
        <v>#NUM!</v>
      </c>
      <c r="J7" s="16"/>
      <c r="K7" s="17" t="s">
        <v>142</v>
      </c>
      <c r="L7" s="17" t="s">
        <v>143</v>
      </c>
      <c r="M7" s="15">
        <f t="shared" si="5"/>
        <v>0</v>
      </c>
      <c r="N7" s="12"/>
      <c r="O7" s="12"/>
      <c r="P7" s="15" t="str">
        <f t="shared" si="6"/>
        <v>#NUM!</v>
      </c>
      <c r="Q7" s="15"/>
      <c r="R7" s="18"/>
    </row>
    <row r="8" ht="22.5" customHeight="1">
      <c r="A8" s="11">
        <v>10.0</v>
      </c>
      <c r="B8" s="12" t="str">
        <f>Usuarios!B11 &amp; " " &amp; Usuarios!C11 &amp; " " &amp; Usuarios!D11
</f>
        <v>David  Cartes </v>
      </c>
      <c r="C8" s="11" t="str">
        <f t="shared" si="1"/>
        <v>#NUM!</v>
      </c>
      <c r="D8" s="13"/>
      <c r="E8" s="11" t="str">
        <f t="shared" si="2"/>
        <v>#NUM!</v>
      </c>
      <c r="F8" s="14">
        <v>1182.6</v>
      </c>
      <c r="G8" s="11" t="str">
        <f t="shared" si="3"/>
        <v>#NUM!</v>
      </c>
      <c r="H8" s="15">
        <v>5000.0</v>
      </c>
      <c r="I8" s="11" t="str">
        <f t="shared" si="4"/>
        <v>#NUM!</v>
      </c>
      <c r="J8" s="16"/>
      <c r="K8" s="17" t="s">
        <v>142</v>
      </c>
      <c r="L8" s="17" t="s">
        <v>143</v>
      </c>
      <c r="M8" s="15">
        <f t="shared" si="5"/>
        <v>0</v>
      </c>
      <c r="N8" s="12"/>
      <c r="O8" s="12"/>
      <c r="P8" s="15" t="str">
        <f t="shared" si="6"/>
        <v>#NUM!</v>
      </c>
      <c r="Q8" s="15"/>
    </row>
    <row r="9" ht="22.5" customHeight="1">
      <c r="A9" s="11">
        <v>19.0</v>
      </c>
      <c r="B9" s="12" t="str">
        <f>Usuarios!B20 &amp; " " &amp; Usuarios!C20 &amp; " " &amp; Usuarios!D20
</f>
        <v>Eduardo  Chavez </v>
      </c>
      <c r="C9" s="11" t="str">
        <f t="shared" si="1"/>
        <v>#NUM!</v>
      </c>
      <c r="D9" s="13"/>
      <c r="E9" s="11" t="str">
        <f t="shared" si="2"/>
        <v>#NUM!</v>
      </c>
      <c r="F9" s="14">
        <v>1182.6</v>
      </c>
      <c r="G9" s="11" t="str">
        <f t="shared" si="3"/>
        <v>#NUM!</v>
      </c>
      <c r="H9" s="15">
        <v>5000.0</v>
      </c>
      <c r="I9" s="11" t="str">
        <f t="shared" si="4"/>
        <v>#NUM!</v>
      </c>
      <c r="J9" s="16"/>
      <c r="K9" s="17" t="s">
        <v>142</v>
      </c>
      <c r="L9" s="17" t="s">
        <v>143</v>
      </c>
      <c r="M9" s="15">
        <f t="shared" si="5"/>
        <v>0</v>
      </c>
      <c r="N9" s="12"/>
      <c r="O9" s="12"/>
      <c r="P9" s="15" t="str">
        <f t="shared" si="6"/>
        <v>#NUM!</v>
      </c>
      <c r="Q9" s="15"/>
    </row>
    <row r="10" ht="22.5" customHeight="1">
      <c r="A10" s="11">
        <v>52.0</v>
      </c>
      <c r="B10" s="12" t="str">
        <f>Usuarios!B53 &amp; " " &amp; Usuarios!C53 &amp; " " &amp; Usuarios!D53
</f>
        <v>Esteban  Oyarzo  Levil</v>
      </c>
      <c r="C10" s="11" t="str">
        <f t="shared" si="1"/>
        <v>#NUM!</v>
      </c>
      <c r="D10" s="13"/>
      <c r="E10" s="11" t="str">
        <f t="shared" si="2"/>
        <v>#NUM!</v>
      </c>
      <c r="F10" s="14">
        <v>1182.6</v>
      </c>
      <c r="G10" s="11" t="str">
        <f t="shared" si="3"/>
        <v>#NUM!</v>
      </c>
      <c r="H10" s="15">
        <v>5000.0</v>
      </c>
      <c r="I10" s="11" t="str">
        <f t="shared" si="4"/>
        <v>#NUM!</v>
      </c>
      <c r="J10" s="16"/>
      <c r="K10" s="17" t="s">
        <v>142</v>
      </c>
      <c r="L10" s="17" t="s">
        <v>143</v>
      </c>
      <c r="M10" s="15">
        <f t="shared" si="5"/>
        <v>0</v>
      </c>
      <c r="N10" s="12"/>
      <c r="O10" s="12"/>
      <c r="P10" s="15" t="str">
        <f t="shared" si="6"/>
        <v>#NUM!</v>
      </c>
      <c r="Q10" s="15"/>
    </row>
    <row r="11" ht="22.5" customHeight="1">
      <c r="A11" s="11">
        <v>8.0</v>
      </c>
      <c r="B11" s="12" t="str">
        <f>Usuarios!B9 &amp; " " &amp; Usuarios!C9 &amp; " " &amp; Usuarios!D9
</f>
        <v>Gabriel  Farias </v>
      </c>
      <c r="C11" s="11" t="str">
        <f t="shared" si="1"/>
        <v>#NUM!</v>
      </c>
      <c r="D11" s="13"/>
      <c r="E11" s="11" t="str">
        <f t="shared" si="2"/>
        <v>#NUM!</v>
      </c>
      <c r="F11" s="14">
        <v>1182.6</v>
      </c>
      <c r="G11" s="11" t="str">
        <f t="shared" si="3"/>
        <v>#NUM!</v>
      </c>
      <c r="H11" s="15">
        <v>5000.0</v>
      </c>
      <c r="I11" s="11" t="str">
        <f t="shared" si="4"/>
        <v>#NUM!</v>
      </c>
      <c r="J11" s="16"/>
      <c r="K11" s="17" t="s">
        <v>142</v>
      </c>
      <c r="L11" s="17" t="s">
        <v>143</v>
      </c>
      <c r="M11" s="15">
        <f t="shared" si="5"/>
        <v>0</v>
      </c>
      <c r="N11" s="12"/>
      <c r="O11" s="12"/>
      <c r="P11" s="15" t="str">
        <f t="shared" si="6"/>
        <v>#NUM!</v>
      </c>
      <c r="Q11" s="15"/>
    </row>
    <row r="12" ht="22.5" customHeight="1">
      <c r="A12" s="11">
        <v>2.0</v>
      </c>
      <c r="B12" s="12" t="str">
        <f>Usuarios!B3 &amp; " " &amp; Usuarios!C3 &amp; " " &amp; Usuarios!D3
</f>
        <v>Gabriel Barria Zuñiga</v>
      </c>
      <c r="C12" s="11" t="str">
        <f t="shared" si="1"/>
        <v>#NUM!</v>
      </c>
      <c r="D12" s="13"/>
      <c r="E12" s="11" t="str">
        <f t="shared" si="2"/>
        <v>#NUM!</v>
      </c>
      <c r="F12" s="14">
        <v>1182.6</v>
      </c>
      <c r="G12" s="11" t="str">
        <f t="shared" si="3"/>
        <v>#NUM!</v>
      </c>
      <c r="H12" s="15">
        <v>5000.0</v>
      </c>
      <c r="I12" s="11" t="str">
        <f t="shared" si="4"/>
        <v>#NUM!</v>
      </c>
      <c r="J12" s="16"/>
      <c r="K12" s="17" t="s">
        <v>142</v>
      </c>
      <c r="L12" s="17" t="s">
        <v>143</v>
      </c>
      <c r="M12" s="15">
        <f t="shared" si="5"/>
        <v>0</v>
      </c>
      <c r="N12" s="16"/>
      <c r="O12" s="12"/>
      <c r="P12" s="15" t="str">
        <f t="shared" si="6"/>
        <v>#NUM!</v>
      </c>
      <c r="Q12" s="15"/>
    </row>
    <row r="13" ht="22.5" customHeight="1">
      <c r="A13" s="11">
        <v>3.0</v>
      </c>
      <c r="B13" s="12" t="str">
        <f>Usuarios!B4 &amp; " " &amp; Usuarios!C4 &amp; " " &amp; Usuarios!D4
</f>
        <v>Gino  Reyes </v>
      </c>
      <c r="C13" s="11" t="str">
        <f t="shared" si="1"/>
        <v>#NUM!</v>
      </c>
      <c r="D13" s="13"/>
      <c r="E13" s="11" t="str">
        <f t="shared" si="2"/>
        <v>#NUM!</v>
      </c>
      <c r="F13" s="14">
        <v>1182.6</v>
      </c>
      <c r="G13" s="11" t="str">
        <f t="shared" si="3"/>
        <v>#NUM!</v>
      </c>
      <c r="H13" s="15">
        <v>5000.0</v>
      </c>
      <c r="I13" s="11" t="str">
        <f t="shared" si="4"/>
        <v>#NUM!</v>
      </c>
      <c r="J13" s="16"/>
      <c r="K13" s="17" t="s">
        <v>142</v>
      </c>
      <c r="L13" s="17" t="s">
        <v>143</v>
      </c>
      <c r="M13" s="15">
        <f t="shared" si="5"/>
        <v>0</v>
      </c>
      <c r="N13" s="12"/>
      <c r="O13" s="12"/>
      <c r="P13" s="15" t="str">
        <f t="shared" si="6"/>
        <v>#NUM!</v>
      </c>
      <c r="Q13" s="15"/>
    </row>
    <row r="14" ht="22.5" customHeight="1">
      <c r="A14" s="11">
        <v>39.0</v>
      </c>
      <c r="B14" s="12" t="str">
        <f>Usuarios!B40 &amp; " " &amp; Usuarios!C40 &amp; " " &amp; Usuarios!D40
</f>
        <v>Gloria  Alvarez </v>
      </c>
      <c r="C14" s="11" t="str">
        <f t="shared" si="1"/>
        <v>#NUM!</v>
      </c>
      <c r="D14" s="13"/>
      <c r="E14" s="11" t="str">
        <f t="shared" si="2"/>
        <v>#NUM!</v>
      </c>
      <c r="F14" s="14">
        <v>1182.6</v>
      </c>
      <c r="G14" s="11" t="str">
        <f t="shared" si="3"/>
        <v>#NUM!</v>
      </c>
      <c r="H14" s="15">
        <v>5000.0</v>
      </c>
      <c r="I14" s="11" t="str">
        <f t="shared" si="4"/>
        <v>#NUM!</v>
      </c>
      <c r="J14" s="16"/>
      <c r="K14" s="17" t="s">
        <v>142</v>
      </c>
      <c r="L14" s="17" t="s">
        <v>143</v>
      </c>
      <c r="M14" s="15">
        <f t="shared" si="5"/>
        <v>0</v>
      </c>
      <c r="N14" s="12"/>
      <c r="O14" s="12"/>
      <c r="P14" s="15" t="str">
        <f t="shared" si="6"/>
        <v>#NUM!</v>
      </c>
      <c r="Q14" s="15"/>
    </row>
    <row r="15" ht="22.5" customHeight="1">
      <c r="A15" s="11">
        <v>40.0</v>
      </c>
      <c r="B15" s="12" t="str">
        <f>Usuarios!B41 &amp; " " &amp; Usuarios!C41 &amp; " " &amp; Usuarios!D41
</f>
        <v>Gloria  Levil </v>
      </c>
      <c r="C15" s="11" t="str">
        <f t="shared" si="1"/>
        <v>#NUM!</v>
      </c>
      <c r="D15" s="13"/>
      <c r="E15" s="11" t="str">
        <f t="shared" si="2"/>
        <v>#NUM!</v>
      </c>
      <c r="F15" s="14">
        <v>1182.6</v>
      </c>
      <c r="G15" s="11" t="str">
        <f t="shared" si="3"/>
        <v>#NUM!</v>
      </c>
      <c r="H15" s="15">
        <v>5000.0</v>
      </c>
      <c r="I15" s="11" t="str">
        <f t="shared" si="4"/>
        <v>#NUM!</v>
      </c>
      <c r="J15" s="16"/>
      <c r="K15" s="17" t="s">
        <v>142</v>
      </c>
      <c r="L15" s="17" t="s">
        <v>143</v>
      </c>
      <c r="M15" s="15">
        <f t="shared" si="5"/>
        <v>0</v>
      </c>
      <c r="N15" s="12"/>
      <c r="O15" s="12"/>
      <c r="P15" s="15" t="str">
        <f t="shared" si="6"/>
        <v>#NUM!</v>
      </c>
      <c r="Q15" s="15"/>
    </row>
    <row r="16" ht="22.5" customHeight="1">
      <c r="A16" s="11">
        <v>50.0</v>
      </c>
      <c r="B16" s="12" t="str">
        <f>Usuarios!B51 &amp; " " &amp; Usuarios!C51 &amp; " " &amp; Usuarios!D51
</f>
        <v>Gloria Isamar  Velasquez  Almonacid</v>
      </c>
      <c r="C16" s="11" t="str">
        <f t="shared" si="1"/>
        <v>#NUM!</v>
      </c>
      <c r="D16" s="13"/>
      <c r="E16" s="11" t="str">
        <f t="shared" si="2"/>
        <v>#NUM!</v>
      </c>
      <c r="F16" s="14">
        <v>1182.6</v>
      </c>
      <c r="G16" s="11" t="str">
        <f t="shared" si="3"/>
        <v>#NUM!</v>
      </c>
      <c r="H16" s="15">
        <v>5000.0</v>
      </c>
      <c r="I16" s="11" t="str">
        <f t="shared" si="4"/>
        <v>#NUM!</v>
      </c>
      <c r="J16" s="16"/>
      <c r="K16" s="17" t="s">
        <v>142</v>
      </c>
      <c r="L16" s="17" t="s">
        <v>143</v>
      </c>
      <c r="M16" s="15">
        <f t="shared" si="5"/>
        <v>0</v>
      </c>
      <c r="N16" s="12"/>
      <c r="O16" s="12"/>
      <c r="P16" s="15" t="str">
        <f t="shared" si="6"/>
        <v>#NUM!</v>
      </c>
      <c r="Q16" s="15"/>
    </row>
    <row r="17" ht="22.5" customHeight="1">
      <c r="A17" s="11">
        <v>26.0</v>
      </c>
      <c r="B17" s="12" t="str">
        <f>Usuarios!B27 &amp; " " &amp; Usuarios!C27 &amp; " " &amp; Usuarios!D27
</f>
        <v>Guido  Quintuy </v>
      </c>
      <c r="C17" s="11" t="str">
        <f t="shared" si="1"/>
        <v>#NUM!</v>
      </c>
      <c r="D17" s="13"/>
      <c r="E17" s="11"/>
      <c r="F17" s="14"/>
      <c r="G17" s="11"/>
      <c r="H17" s="15"/>
      <c r="I17" s="11"/>
      <c r="J17" s="16"/>
      <c r="K17" s="17" t="s">
        <v>142</v>
      </c>
      <c r="L17" s="17" t="s">
        <v>143</v>
      </c>
      <c r="M17" s="15"/>
      <c r="N17" s="12"/>
      <c r="O17" s="12"/>
      <c r="P17" s="15"/>
      <c r="Q17" s="15"/>
    </row>
    <row r="18" ht="22.5" customHeight="1">
      <c r="A18" s="11">
        <v>55.0</v>
      </c>
      <c r="B18" s="12" t="str">
        <f>Usuarios!B56 &amp; " " &amp; Usuarios!C56 &amp; " " &amp; Usuarios!D56
</f>
        <v>Guido  Quintuy - Sitio vacío </v>
      </c>
      <c r="C18" s="11" t="str">
        <f t="shared" si="1"/>
        <v>#NUM!</v>
      </c>
      <c r="D18" s="13"/>
      <c r="E18" s="11" t="str">
        <f t="shared" ref="E18:E45" si="7">D18-C18</f>
        <v>#NUM!</v>
      </c>
      <c r="F18" s="14">
        <v>1182.6</v>
      </c>
      <c r="G18" s="11" t="str">
        <f t="shared" ref="G18:G45" si="8">E18*F18</f>
        <v>#NUM!</v>
      </c>
      <c r="H18" s="15">
        <v>5000.0</v>
      </c>
      <c r="I18" s="11" t="str">
        <f t="shared" ref="I18:I45" si="9">E18*F18+H18</f>
        <v>#NUM!</v>
      </c>
      <c r="J18" s="16"/>
      <c r="K18" s="17" t="s">
        <v>142</v>
      </c>
      <c r="L18" s="17" t="s">
        <v>143</v>
      </c>
      <c r="M18" s="15">
        <f t="shared" ref="M18:M40" si="10">IF(L18="Pagado", I18, 0)</f>
        <v>0</v>
      </c>
      <c r="N18" s="12"/>
      <c r="O18" s="12"/>
      <c r="P18" s="15" t="str">
        <f t="shared" ref="P18:P57" si="11">IF(L18="NO APLICA",0, (I18-M18))</f>
        <v>#NUM!</v>
      </c>
      <c r="Q18" s="15"/>
    </row>
    <row r="19" ht="22.5" customHeight="1">
      <c r="A19" s="11">
        <v>25.0</v>
      </c>
      <c r="B19" s="12" t="str">
        <f>Usuarios!B26 &amp; " " &amp; Usuarios!C26 &amp; " " &amp; Usuarios!D26
</f>
        <v>Inés  Velasquez </v>
      </c>
      <c r="C19" s="11" t="str">
        <f t="shared" si="1"/>
        <v>#NUM!</v>
      </c>
      <c r="D19" s="13"/>
      <c r="E19" s="11" t="str">
        <f t="shared" si="7"/>
        <v>#NUM!</v>
      </c>
      <c r="F19" s="14">
        <v>1182.6</v>
      </c>
      <c r="G19" s="11" t="str">
        <f t="shared" si="8"/>
        <v>#NUM!</v>
      </c>
      <c r="H19" s="15">
        <v>5000.0</v>
      </c>
      <c r="I19" s="11" t="str">
        <f t="shared" si="9"/>
        <v>#NUM!</v>
      </c>
      <c r="J19" s="16"/>
      <c r="K19" s="17" t="s">
        <v>142</v>
      </c>
      <c r="L19" s="17" t="s">
        <v>143</v>
      </c>
      <c r="M19" s="15">
        <f t="shared" si="10"/>
        <v>0</v>
      </c>
      <c r="N19" s="12"/>
      <c r="O19" s="12"/>
      <c r="P19" s="15" t="str">
        <f t="shared" si="11"/>
        <v>#NUM!</v>
      </c>
      <c r="Q19" s="15"/>
    </row>
    <row r="20" ht="22.5" customHeight="1">
      <c r="A20" s="11">
        <v>17.0</v>
      </c>
      <c r="B20" s="12" t="str">
        <f>Usuarios!B18 &amp; " " &amp; Usuarios!C18 &amp; " " &amp; Usuarios!D18
</f>
        <v>Joaquin  Claramunt </v>
      </c>
      <c r="C20" s="11" t="str">
        <f t="shared" si="1"/>
        <v>#NUM!</v>
      </c>
      <c r="D20" s="13"/>
      <c r="E20" s="11" t="str">
        <f t="shared" si="7"/>
        <v>#NUM!</v>
      </c>
      <c r="F20" s="14">
        <v>1182.6</v>
      </c>
      <c r="G20" s="11" t="str">
        <f t="shared" si="8"/>
        <v>#NUM!</v>
      </c>
      <c r="H20" s="15">
        <v>5000.0</v>
      </c>
      <c r="I20" s="11" t="str">
        <f t="shared" si="9"/>
        <v>#NUM!</v>
      </c>
      <c r="J20" s="16"/>
      <c r="K20" s="17" t="s">
        <v>142</v>
      </c>
      <c r="L20" s="17" t="s">
        <v>143</v>
      </c>
      <c r="M20" s="15">
        <f t="shared" si="10"/>
        <v>0</v>
      </c>
      <c r="N20" s="12"/>
      <c r="O20" s="12"/>
      <c r="P20" s="15" t="str">
        <f t="shared" si="11"/>
        <v>#NUM!</v>
      </c>
      <c r="Q20" s="15"/>
    </row>
    <row r="21" ht="22.5" customHeight="1">
      <c r="A21" s="11">
        <v>35.0</v>
      </c>
      <c r="B21" s="12" t="str">
        <f>Usuarios!B36 &amp; " " &amp; Usuarios!C36 &amp; " " &amp; Usuarios!D36
</f>
        <v>José  Paredes </v>
      </c>
      <c r="C21" s="11" t="str">
        <f t="shared" si="1"/>
        <v>#NUM!</v>
      </c>
      <c r="D21" s="13"/>
      <c r="E21" s="11" t="str">
        <f t="shared" si="7"/>
        <v>#NUM!</v>
      </c>
      <c r="F21" s="14">
        <v>1182.6</v>
      </c>
      <c r="G21" s="11" t="str">
        <f t="shared" si="8"/>
        <v>#NUM!</v>
      </c>
      <c r="H21" s="15">
        <v>5000.0</v>
      </c>
      <c r="I21" s="11" t="str">
        <f t="shared" si="9"/>
        <v>#NUM!</v>
      </c>
      <c r="J21" s="16"/>
      <c r="K21" s="17" t="s">
        <v>142</v>
      </c>
      <c r="L21" s="17" t="s">
        <v>143</v>
      </c>
      <c r="M21" s="15">
        <f t="shared" si="10"/>
        <v>0</v>
      </c>
      <c r="N21" s="12"/>
      <c r="O21" s="12"/>
      <c r="P21" s="15" t="str">
        <f t="shared" si="11"/>
        <v>#NUM!</v>
      </c>
      <c r="Q21" s="15"/>
    </row>
    <row r="22" ht="22.5" customHeight="1">
      <c r="A22" s="11">
        <v>20.0</v>
      </c>
      <c r="B22" s="12" t="str">
        <f>Usuarios!B21 &amp; " " &amp; Usuarios!C21 &amp; " " &amp; Usuarios!D21
</f>
        <v>Juan  Chavez </v>
      </c>
      <c r="C22" s="11" t="str">
        <f t="shared" si="1"/>
        <v>#NUM!</v>
      </c>
      <c r="D22" s="13"/>
      <c r="E22" s="11" t="str">
        <f t="shared" si="7"/>
        <v>#NUM!</v>
      </c>
      <c r="F22" s="14">
        <v>1182.6</v>
      </c>
      <c r="G22" s="11" t="str">
        <f t="shared" si="8"/>
        <v>#NUM!</v>
      </c>
      <c r="H22" s="15">
        <v>5000.0</v>
      </c>
      <c r="I22" s="11" t="str">
        <f t="shared" si="9"/>
        <v>#NUM!</v>
      </c>
      <c r="J22" s="16"/>
      <c r="K22" s="17" t="s">
        <v>142</v>
      </c>
      <c r="L22" s="17" t="s">
        <v>143</v>
      </c>
      <c r="M22" s="15">
        <f t="shared" si="10"/>
        <v>0</v>
      </c>
      <c r="N22" s="12"/>
      <c r="O22" s="12"/>
      <c r="P22" s="15" t="str">
        <f t="shared" si="11"/>
        <v>#NUM!</v>
      </c>
      <c r="Q22" s="15"/>
    </row>
    <row r="23" ht="22.5" customHeight="1">
      <c r="A23" s="11">
        <v>42.0</v>
      </c>
      <c r="B23" s="12" t="str">
        <f>Usuarios!B43 &amp; " " &amp; Usuarios!C43 &amp; " " &amp; Usuarios!D43
</f>
        <v>Leo  Soto </v>
      </c>
      <c r="C23" s="11" t="str">
        <f t="shared" si="1"/>
        <v>#NUM!</v>
      </c>
      <c r="D23" s="13"/>
      <c r="E23" s="11" t="str">
        <f t="shared" si="7"/>
        <v>#NUM!</v>
      </c>
      <c r="F23" s="14">
        <v>1182.6</v>
      </c>
      <c r="G23" s="11" t="str">
        <f t="shared" si="8"/>
        <v>#NUM!</v>
      </c>
      <c r="H23" s="15">
        <v>5000.0</v>
      </c>
      <c r="I23" s="11" t="str">
        <f t="shared" si="9"/>
        <v>#NUM!</v>
      </c>
      <c r="J23" s="16"/>
      <c r="K23" s="17" t="s">
        <v>142</v>
      </c>
      <c r="L23" s="17" t="s">
        <v>143</v>
      </c>
      <c r="M23" s="15">
        <f t="shared" si="10"/>
        <v>0</v>
      </c>
      <c r="N23" s="12"/>
      <c r="O23" s="12"/>
      <c r="P23" s="15" t="str">
        <f t="shared" si="11"/>
        <v>#NUM!</v>
      </c>
      <c r="Q23" s="15"/>
    </row>
    <row r="24" ht="22.5" customHeight="1">
      <c r="A24" s="11">
        <v>57.0</v>
      </c>
      <c r="B24" s="12" t="str">
        <f>Usuarios!B58 &amp; " " &amp; Usuarios!C58 &amp; " " &amp; Usuarios!D58
</f>
        <v>Lishby  Fuentes  Diaz</v>
      </c>
      <c r="C24" s="11" t="str">
        <f t="shared" si="1"/>
        <v>#NUM!</v>
      </c>
      <c r="D24" s="13"/>
      <c r="E24" s="11" t="str">
        <f t="shared" si="7"/>
        <v>#NUM!</v>
      </c>
      <c r="F24" s="14">
        <v>1182.6</v>
      </c>
      <c r="G24" s="11" t="str">
        <f t="shared" si="8"/>
        <v>#NUM!</v>
      </c>
      <c r="H24" s="15">
        <v>5000.0</v>
      </c>
      <c r="I24" s="11" t="str">
        <f t="shared" si="9"/>
        <v>#NUM!</v>
      </c>
      <c r="J24" s="16"/>
      <c r="K24" s="17" t="s">
        <v>142</v>
      </c>
      <c r="L24" s="17" t="s">
        <v>143</v>
      </c>
      <c r="M24" s="15">
        <f t="shared" si="10"/>
        <v>0</v>
      </c>
      <c r="N24" s="12"/>
      <c r="O24" s="12"/>
      <c r="P24" s="15" t="str">
        <f t="shared" si="11"/>
        <v>#NUM!</v>
      </c>
      <c r="Q24" s="15"/>
    </row>
    <row r="25" ht="22.5" customHeight="1">
      <c r="A25" s="11">
        <v>48.0</v>
      </c>
      <c r="B25" s="12" t="str">
        <f>Usuarios!B49 &amp; " " &amp; Usuarios!C49 &amp; " " &amp; Usuarios!D49
</f>
        <v>Luis Vicente   Mondaca  Muñoz</v>
      </c>
      <c r="C25" s="11" t="str">
        <f t="shared" si="1"/>
        <v>#NUM!</v>
      </c>
      <c r="D25" s="13"/>
      <c r="E25" s="11" t="str">
        <f t="shared" si="7"/>
        <v>#NUM!</v>
      </c>
      <c r="F25" s="14">
        <v>1182.6</v>
      </c>
      <c r="G25" s="11" t="str">
        <f t="shared" si="8"/>
        <v>#NUM!</v>
      </c>
      <c r="H25" s="15">
        <v>5000.0</v>
      </c>
      <c r="I25" s="11" t="str">
        <f t="shared" si="9"/>
        <v>#NUM!</v>
      </c>
      <c r="J25" s="16"/>
      <c r="K25" s="17" t="s">
        <v>142</v>
      </c>
      <c r="L25" s="17" t="s">
        <v>143</v>
      </c>
      <c r="M25" s="15">
        <f t="shared" si="10"/>
        <v>0</v>
      </c>
      <c r="N25" s="12"/>
      <c r="O25" s="12"/>
      <c r="P25" s="15" t="str">
        <f t="shared" si="11"/>
        <v>#NUM!</v>
      </c>
      <c r="Q25" s="15"/>
    </row>
    <row r="26" ht="22.5" customHeight="1">
      <c r="A26" s="11">
        <v>30.0</v>
      </c>
      <c r="B26" s="12" t="str">
        <f>Usuarios!B31 &amp; " " &amp; Usuarios!C31 &amp; " " &amp; Usuarios!D31
</f>
        <v>Luz  Maldonado </v>
      </c>
      <c r="C26" s="11" t="str">
        <f t="shared" si="1"/>
        <v>#NUM!</v>
      </c>
      <c r="D26" s="13"/>
      <c r="E26" s="11" t="str">
        <f t="shared" si="7"/>
        <v>#NUM!</v>
      </c>
      <c r="F26" s="14">
        <v>1182.6</v>
      </c>
      <c r="G26" s="11" t="str">
        <f t="shared" si="8"/>
        <v>#NUM!</v>
      </c>
      <c r="H26" s="15">
        <v>5000.0</v>
      </c>
      <c r="I26" s="11" t="str">
        <f t="shared" si="9"/>
        <v>#NUM!</v>
      </c>
      <c r="J26" s="16"/>
      <c r="K26" s="17" t="s">
        <v>142</v>
      </c>
      <c r="L26" s="17" t="s">
        <v>143</v>
      </c>
      <c r="M26" s="15">
        <f t="shared" si="10"/>
        <v>0</v>
      </c>
      <c r="N26" s="12"/>
      <c r="O26" s="12"/>
      <c r="P26" s="15" t="str">
        <f t="shared" si="11"/>
        <v>#NUM!</v>
      </c>
      <c r="Q26" s="15"/>
    </row>
    <row r="27" ht="22.5" customHeight="1">
      <c r="A27" s="11">
        <v>7.0</v>
      </c>
      <c r="B27" s="12" t="str">
        <f>Usuarios!B8 &amp; " " &amp; Usuarios!C8 &amp; " " &amp; Usuarios!D8
</f>
        <v>Marcelo  Millanao </v>
      </c>
      <c r="C27" s="11" t="str">
        <f t="shared" si="1"/>
        <v>#NUM!</v>
      </c>
      <c r="D27" s="13"/>
      <c r="E27" s="11" t="str">
        <f t="shared" si="7"/>
        <v>#NUM!</v>
      </c>
      <c r="F27" s="14">
        <v>1182.6</v>
      </c>
      <c r="G27" s="11" t="str">
        <f t="shared" si="8"/>
        <v>#NUM!</v>
      </c>
      <c r="H27" s="15">
        <v>5000.0</v>
      </c>
      <c r="I27" s="11" t="str">
        <f t="shared" si="9"/>
        <v>#NUM!</v>
      </c>
      <c r="J27" s="16"/>
      <c r="K27" s="17" t="s">
        <v>142</v>
      </c>
      <c r="L27" s="17" t="s">
        <v>143</v>
      </c>
      <c r="M27" s="15">
        <f t="shared" si="10"/>
        <v>0</v>
      </c>
      <c r="N27" s="12"/>
      <c r="O27" s="12"/>
      <c r="P27" s="15" t="str">
        <f t="shared" si="11"/>
        <v>#NUM!</v>
      </c>
      <c r="Q27" s="15"/>
    </row>
    <row r="28" ht="22.5" customHeight="1">
      <c r="A28" s="11">
        <v>51.0</v>
      </c>
      <c r="B28" s="12" t="str">
        <f>Usuarios!B52 &amp; " " &amp; Usuarios!C52 &amp; " " &amp; Usuarios!D52
</f>
        <v>Maria  Manquian </v>
      </c>
      <c r="C28" s="11" t="str">
        <f t="shared" si="1"/>
        <v>#NUM!</v>
      </c>
      <c r="D28" s="13"/>
      <c r="E28" s="11" t="str">
        <f t="shared" si="7"/>
        <v>#NUM!</v>
      </c>
      <c r="F28" s="14">
        <v>1182.6</v>
      </c>
      <c r="G28" s="11" t="str">
        <f t="shared" si="8"/>
        <v>#NUM!</v>
      </c>
      <c r="H28" s="15">
        <v>5000.0</v>
      </c>
      <c r="I28" s="11" t="str">
        <f t="shared" si="9"/>
        <v>#NUM!</v>
      </c>
      <c r="J28" s="16"/>
      <c r="K28" s="17" t="s">
        <v>142</v>
      </c>
      <c r="L28" s="17" t="s">
        <v>143</v>
      </c>
      <c r="M28" s="15">
        <f t="shared" si="10"/>
        <v>0</v>
      </c>
      <c r="N28" s="12"/>
      <c r="O28" s="12"/>
      <c r="P28" s="15" t="str">
        <f t="shared" si="11"/>
        <v>#NUM!</v>
      </c>
      <c r="Q28" s="15"/>
    </row>
    <row r="29" ht="22.5" customHeight="1">
      <c r="A29" s="11">
        <v>9.0</v>
      </c>
      <c r="B29" s="12" t="str">
        <f>Usuarios!B10 &amp; " " &amp; Usuarios!C10 &amp; " " &amp; Usuarios!D10
</f>
        <v>Maria  Marin </v>
      </c>
      <c r="C29" s="11" t="str">
        <f t="shared" si="1"/>
        <v>#NUM!</v>
      </c>
      <c r="D29" s="13"/>
      <c r="E29" s="11" t="str">
        <f t="shared" si="7"/>
        <v>#NUM!</v>
      </c>
      <c r="F29" s="14">
        <v>1182.6</v>
      </c>
      <c r="G29" s="11" t="str">
        <f t="shared" si="8"/>
        <v>#NUM!</v>
      </c>
      <c r="H29" s="15">
        <v>5000.0</v>
      </c>
      <c r="I29" s="11" t="str">
        <f t="shared" si="9"/>
        <v>#NUM!</v>
      </c>
      <c r="J29" s="16"/>
      <c r="K29" s="17" t="s">
        <v>142</v>
      </c>
      <c r="L29" s="17" t="s">
        <v>143</v>
      </c>
      <c r="M29" s="15">
        <f t="shared" si="10"/>
        <v>0</v>
      </c>
      <c r="N29" s="12"/>
      <c r="O29" s="12"/>
      <c r="P29" s="15" t="str">
        <f t="shared" si="11"/>
        <v>#NUM!</v>
      </c>
      <c r="Q29" s="15"/>
    </row>
    <row r="30" ht="22.5" customHeight="1">
      <c r="A30" s="11">
        <v>33.0</v>
      </c>
      <c r="B30" s="12" t="str">
        <f>Usuarios!B34 &amp; " " &amp; Usuarios!C34 &amp; " " &amp; Usuarios!D34
</f>
        <v>Maria Oliva  Soto  Almonacid</v>
      </c>
      <c r="C30" s="11" t="str">
        <f t="shared" si="1"/>
        <v>#NUM!</v>
      </c>
      <c r="D30" s="13"/>
      <c r="E30" s="11" t="str">
        <f t="shared" si="7"/>
        <v>#NUM!</v>
      </c>
      <c r="F30" s="14">
        <v>1182.6</v>
      </c>
      <c r="G30" s="11" t="str">
        <f t="shared" si="8"/>
        <v>#NUM!</v>
      </c>
      <c r="H30" s="15">
        <v>5000.0</v>
      </c>
      <c r="I30" s="11" t="str">
        <f t="shared" si="9"/>
        <v>#NUM!</v>
      </c>
      <c r="J30" s="16"/>
      <c r="K30" s="17" t="s">
        <v>142</v>
      </c>
      <c r="L30" s="17" t="s">
        <v>143</v>
      </c>
      <c r="M30" s="15">
        <f t="shared" si="10"/>
        <v>0</v>
      </c>
      <c r="N30" s="12"/>
      <c r="O30" s="12"/>
      <c r="P30" s="15" t="str">
        <f t="shared" si="11"/>
        <v>#NUM!</v>
      </c>
      <c r="Q30" s="15"/>
    </row>
    <row r="31" ht="22.5" customHeight="1">
      <c r="A31" s="11">
        <v>44.0</v>
      </c>
      <c r="B31" s="12" t="str">
        <f>Usuarios!B45 &amp; " " &amp; Usuarios!C45 &amp; " " &amp; Usuarios!D45
</f>
        <v>María Sonia  Quintui </v>
      </c>
      <c r="C31" s="11" t="str">
        <f t="shared" si="1"/>
        <v>#NUM!</v>
      </c>
      <c r="D31" s="13"/>
      <c r="E31" s="11" t="str">
        <f t="shared" si="7"/>
        <v>#NUM!</v>
      </c>
      <c r="F31" s="14">
        <v>1182.6</v>
      </c>
      <c r="G31" s="11" t="str">
        <f t="shared" si="8"/>
        <v>#NUM!</v>
      </c>
      <c r="H31" s="15">
        <v>5000.0</v>
      </c>
      <c r="I31" s="11" t="str">
        <f t="shared" si="9"/>
        <v>#NUM!</v>
      </c>
      <c r="J31" s="16"/>
      <c r="K31" s="17" t="s">
        <v>142</v>
      </c>
      <c r="L31" s="17" t="s">
        <v>143</v>
      </c>
      <c r="M31" s="15">
        <f t="shared" si="10"/>
        <v>0</v>
      </c>
      <c r="N31" s="12"/>
      <c r="O31" s="12"/>
      <c r="P31" s="15" t="str">
        <f t="shared" si="11"/>
        <v>#NUM!</v>
      </c>
      <c r="Q31" s="15"/>
    </row>
    <row r="32" ht="22.5" customHeight="1">
      <c r="A32" s="11">
        <v>24.0</v>
      </c>
      <c r="B32" s="12" t="str">
        <f>Usuarios!B25 &amp; " " &amp; Usuarios!C25 &amp; " " &amp; Usuarios!D25
</f>
        <v>Maria Velasquez  Miranda</v>
      </c>
      <c r="C32" s="11" t="str">
        <f t="shared" si="1"/>
        <v>#NUM!</v>
      </c>
      <c r="D32" s="13"/>
      <c r="E32" s="11" t="str">
        <f t="shared" si="7"/>
        <v>#NUM!</v>
      </c>
      <c r="F32" s="14">
        <v>1182.6</v>
      </c>
      <c r="G32" s="11" t="str">
        <f t="shared" si="8"/>
        <v>#NUM!</v>
      </c>
      <c r="H32" s="15">
        <v>5000.0</v>
      </c>
      <c r="I32" s="11" t="str">
        <f t="shared" si="9"/>
        <v>#NUM!</v>
      </c>
      <c r="J32" s="16"/>
      <c r="K32" s="17" t="s">
        <v>142</v>
      </c>
      <c r="L32" s="17" t="s">
        <v>143</v>
      </c>
      <c r="M32" s="15">
        <f t="shared" si="10"/>
        <v>0</v>
      </c>
      <c r="N32" s="12"/>
      <c r="O32" s="12"/>
      <c r="P32" s="15" t="str">
        <f t="shared" si="11"/>
        <v>#NUM!</v>
      </c>
      <c r="Q32" s="15"/>
    </row>
    <row r="33" ht="22.5" customHeight="1">
      <c r="A33" s="11">
        <v>56.0</v>
      </c>
      <c r="B33" s="12" t="str">
        <f>Usuarios!B57 &amp; " " &amp; Usuarios!C57 &amp; " " &amp; Usuarios!D57
</f>
        <v>Mario  Velasquez </v>
      </c>
      <c r="C33" s="11" t="str">
        <f t="shared" si="1"/>
        <v>#NUM!</v>
      </c>
      <c r="D33" s="13"/>
      <c r="E33" s="11" t="str">
        <f t="shared" si="7"/>
        <v>#NUM!</v>
      </c>
      <c r="F33" s="14">
        <v>1182.6</v>
      </c>
      <c r="G33" s="11" t="str">
        <f t="shared" si="8"/>
        <v>#NUM!</v>
      </c>
      <c r="H33" s="15">
        <v>5000.0</v>
      </c>
      <c r="I33" s="11" t="str">
        <f t="shared" si="9"/>
        <v>#NUM!</v>
      </c>
      <c r="J33" s="16"/>
      <c r="K33" s="17" t="s">
        <v>142</v>
      </c>
      <c r="L33" s="17" t="s">
        <v>143</v>
      </c>
      <c r="M33" s="15">
        <f t="shared" si="10"/>
        <v>0</v>
      </c>
      <c r="N33" s="12"/>
      <c r="O33" s="12"/>
      <c r="P33" s="15" t="str">
        <f t="shared" si="11"/>
        <v>#NUM!</v>
      </c>
      <c r="Q33" s="15"/>
    </row>
    <row r="34" ht="22.5" customHeight="1">
      <c r="A34" s="11">
        <v>5.0</v>
      </c>
      <c r="B34" s="12" t="str">
        <f>Usuarios!B6 &amp; " " &amp; Usuarios!C6 &amp; " " &amp; Usuarios!D6
</f>
        <v>Marisol  Castro </v>
      </c>
      <c r="C34" s="11" t="str">
        <f t="shared" si="1"/>
        <v>#NUM!</v>
      </c>
      <c r="D34" s="13"/>
      <c r="E34" s="11" t="str">
        <f t="shared" si="7"/>
        <v>#NUM!</v>
      </c>
      <c r="F34" s="14">
        <v>1182.6</v>
      </c>
      <c r="G34" s="11" t="str">
        <f t="shared" si="8"/>
        <v>#NUM!</v>
      </c>
      <c r="H34" s="15">
        <v>5000.0</v>
      </c>
      <c r="I34" s="11" t="str">
        <f t="shared" si="9"/>
        <v>#NUM!</v>
      </c>
      <c r="J34" s="16"/>
      <c r="K34" s="17" t="s">
        <v>142</v>
      </c>
      <c r="L34" s="17" t="s">
        <v>143</v>
      </c>
      <c r="M34" s="15">
        <f t="shared" si="10"/>
        <v>0</v>
      </c>
      <c r="N34" s="12"/>
      <c r="O34" s="12"/>
      <c r="P34" s="15" t="str">
        <f t="shared" si="11"/>
        <v>#NUM!</v>
      </c>
      <c r="Q34" s="15"/>
    </row>
    <row r="35" ht="22.5" customHeight="1">
      <c r="A35" s="11">
        <v>6.0</v>
      </c>
      <c r="B35" s="12" t="str">
        <f>Usuarios!B7 &amp; " " &amp; Usuarios!C7 &amp; " " &amp; Usuarios!D7
</f>
        <v>Mauricio  Muñoz </v>
      </c>
      <c r="C35" s="11" t="str">
        <f t="shared" si="1"/>
        <v>#NUM!</v>
      </c>
      <c r="D35" s="13"/>
      <c r="E35" s="11" t="str">
        <f t="shared" si="7"/>
        <v>#NUM!</v>
      </c>
      <c r="F35" s="14">
        <v>1182.6</v>
      </c>
      <c r="G35" s="11" t="str">
        <f t="shared" si="8"/>
        <v>#NUM!</v>
      </c>
      <c r="H35" s="15">
        <v>5000.0</v>
      </c>
      <c r="I35" s="11" t="str">
        <f t="shared" si="9"/>
        <v>#NUM!</v>
      </c>
      <c r="J35" s="16"/>
      <c r="K35" s="17" t="s">
        <v>142</v>
      </c>
      <c r="L35" s="17" t="s">
        <v>143</v>
      </c>
      <c r="M35" s="15">
        <f t="shared" si="10"/>
        <v>0</v>
      </c>
      <c r="N35" s="16"/>
      <c r="O35" s="12"/>
      <c r="P35" s="15" t="str">
        <f t="shared" si="11"/>
        <v>#NUM!</v>
      </c>
      <c r="Q35" s="15"/>
    </row>
    <row r="36" ht="22.5" customHeight="1">
      <c r="A36" s="11">
        <v>46.0</v>
      </c>
      <c r="B36" s="12" t="str">
        <f>Usuarios!B47 &amp; " " &amp; Usuarios!C47 &amp; " " &amp; Usuarios!D47
</f>
        <v>Mauricio  Muñoz taller </v>
      </c>
      <c r="C36" s="11" t="str">
        <f t="shared" si="1"/>
        <v>#NUM!</v>
      </c>
      <c r="D36" s="13"/>
      <c r="E36" s="11" t="str">
        <f t="shared" si="7"/>
        <v>#NUM!</v>
      </c>
      <c r="F36" s="14">
        <v>1182.6</v>
      </c>
      <c r="G36" s="11" t="str">
        <f t="shared" si="8"/>
        <v>#NUM!</v>
      </c>
      <c r="H36" s="15">
        <v>5000.0</v>
      </c>
      <c r="I36" s="11" t="str">
        <f t="shared" si="9"/>
        <v>#NUM!</v>
      </c>
      <c r="J36" s="16"/>
      <c r="K36" s="17" t="s">
        <v>142</v>
      </c>
      <c r="L36" s="17" t="s">
        <v>143</v>
      </c>
      <c r="M36" s="15">
        <f t="shared" si="10"/>
        <v>0</v>
      </c>
      <c r="N36" s="12"/>
      <c r="O36" s="12"/>
      <c r="P36" s="15" t="str">
        <f t="shared" si="11"/>
        <v>#NUM!</v>
      </c>
      <c r="Q36" s="15"/>
    </row>
    <row r="37" ht="22.5" customHeight="1">
      <c r="A37" s="11">
        <v>11.0</v>
      </c>
      <c r="B37" s="12" t="str">
        <f>Usuarios!B12 &amp; " " &amp; Usuarios!C12 &amp; " " &amp; Usuarios!D12
</f>
        <v>Miguel  Ñanco </v>
      </c>
      <c r="C37" s="11" t="str">
        <f t="shared" si="1"/>
        <v>#NUM!</v>
      </c>
      <c r="D37" s="13"/>
      <c r="E37" s="11" t="str">
        <f t="shared" si="7"/>
        <v>#NUM!</v>
      </c>
      <c r="F37" s="14">
        <v>1182.6</v>
      </c>
      <c r="G37" s="11" t="str">
        <f t="shared" si="8"/>
        <v>#NUM!</v>
      </c>
      <c r="H37" s="15">
        <v>5000.0</v>
      </c>
      <c r="I37" s="11" t="str">
        <f t="shared" si="9"/>
        <v>#NUM!</v>
      </c>
      <c r="J37" s="16"/>
      <c r="K37" s="17" t="s">
        <v>142</v>
      </c>
      <c r="L37" s="17" t="s">
        <v>143</v>
      </c>
      <c r="M37" s="15">
        <f t="shared" si="10"/>
        <v>0</v>
      </c>
      <c r="N37" s="12"/>
      <c r="O37" s="12"/>
      <c r="P37" s="15" t="str">
        <f t="shared" si="11"/>
        <v>#NUM!</v>
      </c>
      <c r="Q37" s="15"/>
    </row>
    <row r="38" ht="22.5" customHeight="1">
      <c r="A38" s="11">
        <v>29.0</v>
      </c>
      <c r="B38" s="12" t="str">
        <f>Usuarios!B30 &amp; " " &amp; Usuarios!C30 &amp; " " &amp; Usuarios!D30
</f>
        <v>Miriam  Alvarado </v>
      </c>
      <c r="C38" s="11" t="str">
        <f t="shared" si="1"/>
        <v>#NUM!</v>
      </c>
      <c r="D38" s="13"/>
      <c r="E38" s="11" t="str">
        <f t="shared" si="7"/>
        <v>#NUM!</v>
      </c>
      <c r="F38" s="14">
        <v>1182.6</v>
      </c>
      <c r="G38" s="11" t="str">
        <f t="shared" si="8"/>
        <v>#NUM!</v>
      </c>
      <c r="H38" s="15">
        <v>5000.0</v>
      </c>
      <c r="I38" s="11" t="str">
        <f t="shared" si="9"/>
        <v>#NUM!</v>
      </c>
      <c r="J38" s="16"/>
      <c r="K38" s="17" t="s">
        <v>142</v>
      </c>
      <c r="L38" s="17" t="s">
        <v>143</v>
      </c>
      <c r="M38" s="15">
        <f t="shared" si="10"/>
        <v>0</v>
      </c>
      <c r="N38" s="12"/>
      <c r="O38" s="12"/>
      <c r="P38" s="15" t="str">
        <f t="shared" si="11"/>
        <v>#NUM!</v>
      </c>
      <c r="Q38" s="15"/>
    </row>
    <row r="39" ht="22.5" customHeight="1">
      <c r="A39" s="11">
        <v>45.0</v>
      </c>
      <c r="B39" s="12" t="str">
        <f>Usuarios!B46 &amp; " " &amp; Usuarios!C46 &amp; " " &amp; Usuarios!D46
</f>
        <v>Monica  Cuello </v>
      </c>
      <c r="C39" s="11" t="str">
        <f t="shared" si="1"/>
        <v>#NUM!</v>
      </c>
      <c r="D39" s="13"/>
      <c r="E39" s="11" t="str">
        <f t="shared" si="7"/>
        <v>#NUM!</v>
      </c>
      <c r="F39" s="14">
        <v>1182.6</v>
      </c>
      <c r="G39" s="11" t="str">
        <f t="shared" si="8"/>
        <v>#NUM!</v>
      </c>
      <c r="H39" s="15">
        <v>5000.0</v>
      </c>
      <c r="I39" s="11" t="str">
        <f t="shared" si="9"/>
        <v>#NUM!</v>
      </c>
      <c r="J39" s="16"/>
      <c r="K39" s="17" t="s">
        <v>142</v>
      </c>
      <c r="L39" s="17" t="s">
        <v>143</v>
      </c>
      <c r="M39" s="15">
        <f t="shared" si="10"/>
        <v>0</v>
      </c>
      <c r="N39" s="12"/>
      <c r="O39" s="12"/>
      <c r="P39" s="15" t="str">
        <f t="shared" si="11"/>
        <v>#NUM!</v>
      </c>
      <c r="Q39" s="15"/>
    </row>
    <row r="40" ht="22.5" customHeight="1">
      <c r="A40" s="11">
        <v>1.0</v>
      </c>
      <c r="B40" s="12" t="str">
        <f>Usuarios!B2 &amp; " " &amp; Usuarios!C2 &amp; " " &amp; Usuarios!D2
</f>
        <v>Nancy Zuñiga Villarroel</v>
      </c>
      <c r="C40" s="11" t="str">
        <f t="shared" si="1"/>
        <v>#NUM!</v>
      </c>
      <c r="D40" s="13"/>
      <c r="E40" s="11" t="str">
        <f t="shared" si="7"/>
        <v>#NUM!</v>
      </c>
      <c r="F40" s="14">
        <v>1182.6</v>
      </c>
      <c r="G40" s="11" t="str">
        <f t="shared" si="8"/>
        <v>#NUM!</v>
      </c>
      <c r="H40" s="15">
        <v>5000.0</v>
      </c>
      <c r="I40" s="11" t="str">
        <f t="shared" si="9"/>
        <v>#NUM!</v>
      </c>
      <c r="J40" s="16"/>
      <c r="K40" s="17" t="s">
        <v>142</v>
      </c>
      <c r="L40" s="17" t="s">
        <v>143</v>
      </c>
      <c r="M40" s="15">
        <f t="shared" si="10"/>
        <v>0</v>
      </c>
      <c r="N40" s="12"/>
      <c r="O40" s="12"/>
      <c r="P40" s="15" t="str">
        <f t="shared" si="11"/>
        <v>#NUM!</v>
      </c>
      <c r="Q40" s="15"/>
    </row>
    <row r="41" ht="22.5" customHeight="1">
      <c r="A41" s="11">
        <v>32.0</v>
      </c>
      <c r="B41" s="12" t="str">
        <f>Usuarios!B33 &amp; " " &amp; Usuarios!C33 &amp; " " &amp; Usuarios!D33
</f>
        <v>Natividad  Soto </v>
      </c>
      <c r="C41" s="11" t="str">
        <f t="shared" si="1"/>
        <v>#NUM!</v>
      </c>
      <c r="D41" s="13"/>
      <c r="E41" s="11" t="str">
        <f t="shared" si="7"/>
        <v>#NUM!</v>
      </c>
      <c r="F41" s="14">
        <v>1182.6</v>
      </c>
      <c r="G41" s="11" t="str">
        <f t="shared" si="8"/>
        <v>#NUM!</v>
      </c>
      <c r="H41" s="15">
        <v>5000.0</v>
      </c>
      <c r="I41" s="11" t="str">
        <f t="shared" si="9"/>
        <v>#NUM!</v>
      </c>
      <c r="J41" s="16"/>
      <c r="K41" s="17" t="s">
        <v>142</v>
      </c>
      <c r="L41" s="17" t="s">
        <v>143</v>
      </c>
      <c r="M41" s="19">
        <v>0.0</v>
      </c>
      <c r="N41" s="12"/>
      <c r="O41" s="12"/>
      <c r="P41" s="15" t="str">
        <f t="shared" si="11"/>
        <v>#NUM!</v>
      </c>
      <c r="Q41" s="15"/>
    </row>
    <row r="42" ht="22.5" customHeight="1">
      <c r="A42" s="11">
        <v>18.0</v>
      </c>
      <c r="B42" s="12" t="str">
        <f>Usuarios!B19 &amp; " " &amp; Usuarios!C19 &amp; " " &amp; Usuarios!D19
</f>
        <v>Nelson  Mansilla </v>
      </c>
      <c r="C42" s="11" t="str">
        <f t="shared" si="1"/>
        <v>#NUM!</v>
      </c>
      <c r="D42" s="13"/>
      <c r="E42" s="11" t="str">
        <f t="shared" si="7"/>
        <v>#NUM!</v>
      </c>
      <c r="F42" s="14">
        <v>1182.6</v>
      </c>
      <c r="G42" s="11" t="str">
        <f t="shared" si="8"/>
        <v>#NUM!</v>
      </c>
      <c r="H42" s="15">
        <v>5000.0</v>
      </c>
      <c r="I42" s="11" t="str">
        <f t="shared" si="9"/>
        <v>#NUM!</v>
      </c>
      <c r="J42" s="16"/>
      <c r="K42" s="17" t="s">
        <v>142</v>
      </c>
      <c r="L42" s="17" t="s">
        <v>143</v>
      </c>
      <c r="M42" s="15">
        <f t="shared" ref="M42:M57" si="12">IF(L42="Pagado", I42, 0)</f>
        <v>0</v>
      </c>
      <c r="N42" s="12"/>
      <c r="O42" s="12"/>
      <c r="P42" s="15" t="str">
        <f t="shared" si="11"/>
        <v>#NUM!</v>
      </c>
      <c r="Q42" s="15"/>
    </row>
    <row r="43" ht="22.5" customHeight="1">
      <c r="A43" s="11">
        <v>53.0</v>
      </c>
      <c r="B43" s="12" t="str">
        <f>Usuarios!B54 &amp; " " &amp; Usuarios!C54 &amp; " " &amp; Usuarios!D54
</f>
        <v>Nicolas Andres  Cardenas Bustamante</v>
      </c>
      <c r="C43" s="11" t="str">
        <f t="shared" si="1"/>
        <v>#NUM!</v>
      </c>
      <c r="D43" s="13"/>
      <c r="E43" s="11" t="str">
        <f t="shared" si="7"/>
        <v>#NUM!</v>
      </c>
      <c r="F43" s="14">
        <v>1182.6</v>
      </c>
      <c r="G43" s="11" t="str">
        <f t="shared" si="8"/>
        <v>#NUM!</v>
      </c>
      <c r="H43" s="15">
        <v>5000.0</v>
      </c>
      <c r="I43" s="11" t="str">
        <f t="shared" si="9"/>
        <v>#NUM!</v>
      </c>
      <c r="J43" s="16"/>
      <c r="K43" s="17" t="s">
        <v>142</v>
      </c>
      <c r="L43" s="17" t="s">
        <v>143</v>
      </c>
      <c r="M43" s="15">
        <f t="shared" si="12"/>
        <v>0</v>
      </c>
      <c r="N43" s="12"/>
      <c r="O43" s="12"/>
      <c r="P43" s="15" t="str">
        <f t="shared" si="11"/>
        <v>#NUM!</v>
      </c>
      <c r="Q43" s="15"/>
    </row>
    <row r="44" ht="22.5" customHeight="1">
      <c r="A44" s="11">
        <v>28.0</v>
      </c>
      <c r="B44" s="12" t="str">
        <f>Usuarios!B29 &amp; " " &amp; Usuarios!C29 &amp; " " &amp; Usuarios!D29
</f>
        <v>Nora  Ñanco </v>
      </c>
      <c r="C44" s="11" t="str">
        <f t="shared" si="1"/>
        <v>#NUM!</v>
      </c>
      <c r="D44" s="13"/>
      <c r="E44" s="11" t="str">
        <f t="shared" si="7"/>
        <v>#NUM!</v>
      </c>
      <c r="F44" s="14">
        <v>1182.6</v>
      </c>
      <c r="G44" s="11" t="str">
        <f t="shared" si="8"/>
        <v>#NUM!</v>
      </c>
      <c r="H44" s="15">
        <v>5000.0</v>
      </c>
      <c r="I44" s="11" t="str">
        <f t="shared" si="9"/>
        <v>#NUM!</v>
      </c>
      <c r="J44" s="16"/>
      <c r="K44" s="17" t="s">
        <v>142</v>
      </c>
      <c r="L44" s="17" t="s">
        <v>143</v>
      </c>
      <c r="M44" s="15">
        <f t="shared" si="12"/>
        <v>0</v>
      </c>
      <c r="N44" s="12"/>
      <c r="O44" s="12"/>
      <c r="P44" s="15" t="str">
        <f t="shared" si="11"/>
        <v>#NUM!</v>
      </c>
      <c r="Q44" s="15"/>
    </row>
    <row r="45" ht="22.5" customHeight="1">
      <c r="A45" s="11">
        <v>38.0</v>
      </c>
      <c r="B45" s="12" t="str">
        <f>Usuarios!B39 &amp; " " &amp; Usuarios!C39 &amp; " " &amp; Usuarios!D39
</f>
        <v>Norma  Sanchez </v>
      </c>
      <c r="C45" s="11" t="str">
        <f t="shared" si="1"/>
        <v>#NUM!</v>
      </c>
      <c r="D45" s="13"/>
      <c r="E45" s="11" t="str">
        <f t="shared" si="7"/>
        <v>#NUM!</v>
      </c>
      <c r="F45" s="14">
        <v>1182.6</v>
      </c>
      <c r="G45" s="11" t="str">
        <f t="shared" si="8"/>
        <v>#NUM!</v>
      </c>
      <c r="H45" s="15">
        <v>5000.0</v>
      </c>
      <c r="I45" s="11" t="str">
        <f t="shared" si="9"/>
        <v>#NUM!</v>
      </c>
      <c r="J45" s="16"/>
      <c r="K45" s="17" t="s">
        <v>142</v>
      </c>
      <c r="L45" s="17" t="s">
        <v>143</v>
      </c>
      <c r="M45" s="15">
        <f t="shared" si="12"/>
        <v>0</v>
      </c>
      <c r="N45" s="12"/>
      <c r="O45" s="12"/>
      <c r="P45" s="15" t="str">
        <f t="shared" si="11"/>
        <v>#NUM!</v>
      </c>
      <c r="Q45" s="15"/>
    </row>
    <row r="46" ht="22.5" customHeight="1">
      <c r="A46" s="11">
        <v>47.0</v>
      </c>
      <c r="B46" s="12" t="str">
        <f>Usuarios!B48 &amp; " " &amp; Usuarios!C48 &amp; " " &amp; Usuarios!D48
</f>
        <v>Pablo  Contreras </v>
      </c>
      <c r="C46" s="11" t="str">
        <f t="shared" si="1"/>
        <v>#NUM!</v>
      </c>
      <c r="D46" s="13"/>
      <c r="E46" s="11"/>
      <c r="F46" s="14"/>
      <c r="G46" s="11"/>
      <c r="H46" s="15"/>
      <c r="I46" s="11"/>
      <c r="J46" s="16"/>
      <c r="K46" s="17" t="s">
        <v>142</v>
      </c>
      <c r="L46" s="17" t="s">
        <v>144</v>
      </c>
      <c r="M46" s="15">
        <f t="shared" si="12"/>
        <v>0</v>
      </c>
      <c r="N46" s="12"/>
      <c r="O46" s="12"/>
      <c r="P46" s="15">
        <f t="shared" si="11"/>
        <v>0</v>
      </c>
      <c r="Q46" s="15"/>
    </row>
    <row r="47" ht="22.5" customHeight="1">
      <c r="A47" s="11">
        <v>31.0</v>
      </c>
      <c r="B47" s="12" t="str">
        <f>Usuarios!B32 &amp; " " &amp; Usuarios!C32 &amp; " " &amp; Usuarios!D32
</f>
        <v>Patricia  Carcamo  Gonzales</v>
      </c>
      <c r="C47" s="11" t="str">
        <f t="shared" si="1"/>
        <v>#NUM!</v>
      </c>
      <c r="D47" s="13"/>
      <c r="E47" s="11" t="str">
        <f t="shared" ref="E47:E57" si="13">D47-C47</f>
        <v>#NUM!</v>
      </c>
      <c r="F47" s="14">
        <v>1182.6</v>
      </c>
      <c r="G47" s="11" t="str">
        <f t="shared" ref="G47:G57" si="14">E47*F47</f>
        <v>#NUM!</v>
      </c>
      <c r="H47" s="15">
        <v>5000.0</v>
      </c>
      <c r="I47" s="11" t="str">
        <f t="shared" ref="I47:I57" si="15">E47*F47+H47</f>
        <v>#NUM!</v>
      </c>
      <c r="J47" s="16"/>
      <c r="K47" s="17" t="s">
        <v>142</v>
      </c>
      <c r="L47" s="17" t="s">
        <v>143</v>
      </c>
      <c r="M47" s="15">
        <f t="shared" si="12"/>
        <v>0</v>
      </c>
      <c r="N47" s="12"/>
      <c r="O47" s="12"/>
      <c r="P47" s="15" t="str">
        <f t="shared" si="11"/>
        <v>#NUM!</v>
      </c>
      <c r="Q47" s="15"/>
    </row>
    <row r="48" ht="22.5" customHeight="1">
      <c r="A48" s="11">
        <v>37.0</v>
      </c>
      <c r="B48" s="12" t="str">
        <f>Usuarios!B38 &amp; " " &amp; Usuarios!C38 &amp; " " &amp; Usuarios!D38
</f>
        <v>Patricio Alvarez Mancilla</v>
      </c>
      <c r="C48" s="11" t="str">
        <f t="shared" si="1"/>
        <v>#NUM!</v>
      </c>
      <c r="D48" s="13"/>
      <c r="E48" s="11" t="str">
        <f t="shared" si="13"/>
        <v>#NUM!</v>
      </c>
      <c r="F48" s="14">
        <v>1182.6</v>
      </c>
      <c r="G48" s="11" t="str">
        <f t="shared" si="14"/>
        <v>#NUM!</v>
      </c>
      <c r="H48" s="15">
        <v>5000.0</v>
      </c>
      <c r="I48" s="11" t="str">
        <f t="shared" si="15"/>
        <v>#NUM!</v>
      </c>
      <c r="J48" s="16"/>
      <c r="K48" s="17" t="s">
        <v>142</v>
      </c>
      <c r="L48" s="17" t="s">
        <v>143</v>
      </c>
      <c r="M48" s="15">
        <f t="shared" si="12"/>
        <v>0</v>
      </c>
      <c r="N48" s="12"/>
      <c r="O48" s="12"/>
      <c r="P48" s="15" t="str">
        <f t="shared" si="11"/>
        <v>#NUM!</v>
      </c>
      <c r="Q48" s="15"/>
    </row>
    <row r="49" ht="22.5" customHeight="1">
      <c r="A49" s="11">
        <v>27.0</v>
      </c>
      <c r="B49" s="12" t="str">
        <f>Usuarios!B28 &amp; " " &amp; Usuarios!C28 &amp; " " &amp; Usuarios!D28
</f>
        <v>Pedro  Almonacid </v>
      </c>
      <c r="C49" s="11" t="str">
        <f t="shared" si="1"/>
        <v>#NUM!</v>
      </c>
      <c r="D49" s="13"/>
      <c r="E49" s="11" t="str">
        <f t="shared" si="13"/>
        <v>#NUM!</v>
      </c>
      <c r="F49" s="14">
        <v>1182.6</v>
      </c>
      <c r="G49" s="11" t="str">
        <f t="shared" si="14"/>
        <v>#NUM!</v>
      </c>
      <c r="H49" s="15">
        <v>5000.0</v>
      </c>
      <c r="I49" s="11" t="str">
        <f t="shared" si="15"/>
        <v>#NUM!</v>
      </c>
      <c r="J49" s="16"/>
      <c r="K49" s="17" t="s">
        <v>142</v>
      </c>
      <c r="L49" s="17" t="s">
        <v>143</v>
      </c>
      <c r="M49" s="15">
        <f t="shared" si="12"/>
        <v>0</v>
      </c>
      <c r="N49" s="12"/>
      <c r="O49" s="12"/>
      <c r="P49" s="15" t="str">
        <f t="shared" si="11"/>
        <v>#NUM!</v>
      </c>
      <c r="Q49" s="15"/>
    </row>
    <row r="50" ht="22.5" customHeight="1">
      <c r="A50" s="11">
        <v>12.0</v>
      </c>
      <c r="B50" s="12" t="str">
        <f>Usuarios!B13 &amp; " " &amp; Usuarios!C13 &amp; " " &amp; Usuarios!D13
</f>
        <v>Pedro  Contreras </v>
      </c>
      <c r="C50" s="11" t="str">
        <f t="shared" si="1"/>
        <v>#NUM!</v>
      </c>
      <c r="D50" s="13"/>
      <c r="E50" s="11" t="str">
        <f t="shared" si="13"/>
        <v>#NUM!</v>
      </c>
      <c r="F50" s="14">
        <v>1182.6</v>
      </c>
      <c r="G50" s="11" t="str">
        <f t="shared" si="14"/>
        <v>#NUM!</v>
      </c>
      <c r="H50" s="15">
        <v>5000.0</v>
      </c>
      <c r="I50" s="11" t="str">
        <f t="shared" si="15"/>
        <v>#NUM!</v>
      </c>
      <c r="J50" s="16"/>
      <c r="K50" s="17" t="s">
        <v>142</v>
      </c>
      <c r="L50" s="17" t="s">
        <v>143</v>
      </c>
      <c r="M50" s="15">
        <f t="shared" si="12"/>
        <v>0</v>
      </c>
      <c r="N50" s="12"/>
      <c r="O50" s="12"/>
      <c r="P50" s="15" t="str">
        <f t="shared" si="11"/>
        <v>#NUM!</v>
      </c>
      <c r="Q50" s="15"/>
    </row>
    <row r="51" ht="22.5" customHeight="1">
      <c r="A51" s="11">
        <v>43.0</v>
      </c>
      <c r="B51" s="12" t="str">
        <f>Usuarios!B44 &amp; " " &amp; Usuarios!C44 &amp; " " &amp; Usuarios!D44
</f>
        <v>Ramon  Maldonado </v>
      </c>
      <c r="C51" s="11" t="str">
        <f t="shared" si="1"/>
        <v>#NUM!</v>
      </c>
      <c r="D51" s="13"/>
      <c r="E51" s="11" t="str">
        <f t="shared" si="13"/>
        <v>#NUM!</v>
      </c>
      <c r="F51" s="14">
        <v>1182.6</v>
      </c>
      <c r="G51" s="11" t="str">
        <f t="shared" si="14"/>
        <v>#NUM!</v>
      </c>
      <c r="H51" s="15">
        <v>5000.0</v>
      </c>
      <c r="I51" s="11" t="str">
        <f t="shared" si="15"/>
        <v>#NUM!</v>
      </c>
      <c r="J51" s="16"/>
      <c r="K51" s="17" t="s">
        <v>142</v>
      </c>
      <c r="L51" s="17" t="s">
        <v>143</v>
      </c>
      <c r="M51" s="15">
        <f t="shared" si="12"/>
        <v>0</v>
      </c>
      <c r="N51" s="12"/>
      <c r="O51" s="12"/>
      <c r="P51" s="15" t="str">
        <f t="shared" si="11"/>
        <v>#NUM!</v>
      </c>
      <c r="Q51" s="15"/>
    </row>
    <row r="52" ht="22.5" customHeight="1">
      <c r="A52" s="11">
        <v>14.0</v>
      </c>
      <c r="B52" s="12" t="str">
        <f>Usuarios!B15 &amp; " " &amp; Usuarios!C15 &amp; " " &amp; Usuarios!D15
</f>
        <v>Ramona  Mansilla </v>
      </c>
      <c r="C52" s="11" t="str">
        <f t="shared" si="1"/>
        <v>#NUM!</v>
      </c>
      <c r="D52" s="13"/>
      <c r="E52" s="11" t="str">
        <f t="shared" si="13"/>
        <v>#NUM!</v>
      </c>
      <c r="F52" s="14">
        <v>1182.6</v>
      </c>
      <c r="G52" s="11" t="str">
        <f t="shared" si="14"/>
        <v>#NUM!</v>
      </c>
      <c r="H52" s="15">
        <v>5000.0</v>
      </c>
      <c r="I52" s="11" t="str">
        <f t="shared" si="15"/>
        <v>#NUM!</v>
      </c>
      <c r="J52" s="16"/>
      <c r="K52" s="17" t="s">
        <v>142</v>
      </c>
      <c r="L52" s="17" t="s">
        <v>143</v>
      </c>
      <c r="M52" s="15">
        <f t="shared" si="12"/>
        <v>0</v>
      </c>
      <c r="N52" s="12"/>
      <c r="O52" s="12"/>
      <c r="P52" s="15" t="str">
        <f t="shared" si="11"/>
        <v>#NUM!</v>
      </c>
      <c r="Q52" s="15"/>
    </row>
    <row r="53" ht="22.5" customHeight="1">
      <c r="A53" s="11">
        <v>54.0</v>
      </c>
      <c r="B53" s="12" t="str">
        <f>Usuarios!B55 &amp; " " &amp; Usuarios!C55 &amp; " " &amp; Usuarios!D55
</f>
        <v>Rosa  Mancilla </v>
      </c>
      <c r="C53" s="11" t="str">
        <f t="shared" si="1"/>
        <v>#NUM!</v>
      </c>
      <c r="D53" s="13"/>
      <c r="E53" s="11" t="str">
        <f t="shared" si="13"/>
        <v>#NUM!</v>
      </c>
      <c r="F53" s="14">
        <v>1182.6</v>
      </c>
      <c r="G53" s="11" t="str">
        <f t="shared" si="14"/>
        <v>#NUM!</v>
      </c>
      <c r="H53" s="15">
        <v>5000.0</v>
      </c>
      <c r="I53" s="11" t="str">
        <f t="shared" si="15"/>
        <v>#NUM!</v>
      </c>
      <c r="J53" s="16"/>
      <c r="K53" s="17" t="s">
        <v>142</v>
      </c>
      <c r="L53" s="17" t="s">
        <v>143</v>
      </c>
      <c r="M53" s="15">
        <f t="shared" si="12"/>
        <v>0</v>
      </c>
      <c r="N53" s="12"/>
      <c r="O53" s="12"/>
      <c r="P53" s="15" t="str">
        <f t="shared" si="11"/>
        <v>#NUM!</v>
      </c>
      <c r="Q53" s="15"/>
    </row>
    <row r="54" ht="22.5" customHeight="1">
      <c r="A54" s="11">
        <v>49.0</v>
      </c>
      <c r="B54" s="12" t="str">
        <f>Usuarios!B50 &amp; " " &amp; Usuarios!C50 &amp; " " &amp; Usuarios!D50
</f>
        <v>Rosa  Nuñez </v>
      </c>
      <c r="C54" s="11" t="str">
        <f t="shared" si="1"/>
        <v>#NUM!</v>
      </c>
      <c r="D54" s="13"/>
      <c r="E54" s="11" t="str">
        <f t="shared" si="13"/>
        <v>#NUM!</v>
      </c>
      <c r="F54" s="14">
        <v>1182.6</v>
      </c>
      <c r="G54" s="11" t="str">
        <f t="shared" si="14"/>
        <v>#NUM!</v>
      </c>
      <c r="H54" s="15">
        <v>5000.0</v>
      </c>
      <c r="I54" s="11" t="str">
        <f t="shared" si="15"/>
        <v>#NUM!</v>
      </c>
      <c r="J54" s="16"/>
      <c r="K54" s="17" t="s">
        <v>142</v>
      </c>
      <c r="L54" s="17" t="s">
        <v>143</v>
      </c>
      <c r="M54" s="15">
        <f t="shared" si="12"/>
        <v>0</v>
      </c>
      <c r="N54" s="12"/>
      <c r="O54" s="12"/>
      <c r="P54" s="15" t="str">
        <f t="shared" si="11"/>
        <v>#NUM!</v>
      </c>
      <c r="Q54" s="15"/>
    </row>
    <row r="55" ht="22.5" customHeight="1">
      <c r="A55" s="11">
        <v>15.0</v>
      </c>
      <c r="B55" s="12" t="str">
        <f>Usuarios!B16 &amp; " " &amp; Usuarios!C16 &amp; " " &amp; Usuarios!D16
</f>
        <v>Sandra Mancilla  Merino</v>
      </c>
      <c r="C55" s="11" t="str">
        <f t="shared" si="1"/>
        <v>#NUM!</v>
      </c>
      <c r="D55" s="13"/>
      <c r="E55" s="11" t="str">
        <f t="shared" si="13"/>
        <v>#NUM!</v>
      </c>
      <c r="F55" s="14">
        <v>1182.6</v>
      </c>
      <c r="G55" s="11" t="str">
        <f t="shared" si="14"/>
        <v>#NUM!</v>
      </c>
      <c r="H55" s="15">
        <v>5000.0</v>
      </c>
      <c r="I55" s="11" t="str">
        <f t="shared" si="15"/>
        <v>#NUM!</v>
      </c>
      <c r="J55" s="16"/>
      <c r="K55" s="17" t="s">
        <v>142</v>
      </c>
      <c r="L55" s="17" t="s">
        <v>143</v>
      </c>
      <c r="M55" s="15">
        <f t="shared" si="12"/>
        <v>0</v>
      </c>
      <c r="N55" s="12"/>
      <c r="O55" s="12"/>
      <c r="P55" s="15" t="str">
        <f t="shared" si="11"/>
        <v>#NUM!</v>
      </c>
      <c r="Q55" s="15"/>
    </row>
    <row r="56" ht="22.5" customHeight="1">
      <c r="A56" s="11">
        <v>34.0</v>
      </c>
      <c r="B56" s="12" t="str">
        <f>Usuarios!B35 &amp; " " &amp; Usuarios!C35 &amp; " " &amp; Usuarios!D35
</f>
        <v>Vanesa  Aguilar </v>
      </c>
      <c r="C56" s="11" t="str">
        <f t="shared" si="1"/>
        <v>#NUM!</v>
      </c>
      <c r="D56" s="13"/>
      <c r="E56" s="11" t="str">
        <f t="shared" si="13"/>
        <v>#NUM!</v>
      </c>
      <c r="F56" s="14">
        <v>1182.6</v>
      </c>
      <c r="G56" s="11" t="str">
        <f t="shared" si="14"/>
        <v>#NUM!</v>
      </c>
      <c r="H56" s="15">
        <v>5000.0</v>
      </c>
      <c r="I56" s="11" t="str">
        <f t="shared" si="15"/>
        <v>#NUM!</v>
      </c>
      <c r="J56" s="16"/>
      <c r="K56" s="17" t="s">
        <v>142</v>
      </c>
      <c r="L56" s="17" t="s">
        <v>143</v>
      </c>
      <c r="M56" s="15">
        <f t="shared" si="12"/>
        <v>0</v>
      </c>
      <c r="N56" s="12"/>
      <c r="O56" s="12"/>
      <c r="P56" s="15" t="str">
        <f t="shared" si="11"/>
        <v>#NUM!</v>
      </c>
      <c r="Q56" s="15"/>
    </row>
    <row r="57" ht="22.5" customHeight="1">
      <c r="A57" s="11">
        <v>22.0</v>
      </c>
      <c r="B57" s="12" t="str">
        <f>Usuarios!B23 &amp; " " &amp; Usuarios!C23 &amp; " " &amp; Usuarios!D23
</f>
        <v>Yuri  Millaquen </v>
      </c>
      <c r="C57" s="11" t="str">
        <f t="shared" si="1"/>
        <v>#NUM!</v>
      </c>
      <c r="D57" s="13"/>
      <c r="E57" s="11" t="str">
        <f t="shared" si="13"/>
        <v>#NUM!</v>
      </c>
      <c r="F57" s="14">
        <v>1182.6</v>
      </c>
      <c r="G57" s="11" t="str">
        <f t="shared" si="14"/>
        <v>#NUM!</v>
      </c>
      <c r="H57" s="15">
        <v>5000.0</v>
      </c>
      <c r="I57" s="11" t="str">
        <f t="shared" si="15"/>
        <v>#NUM!</v>
      </c>
      <c r="J57" s="16"/>
      <c r="K57" s="17" t="s">
        <v>142</v>
      </c>
      <c r="L57" s="17" t="s">
        <v>143</v>
      </c>
      <c r="M57" s="15">
        <f t="shared" si="12"/>
        <v>0</v>
      </c>
      <c r="N57" s="12"/>
      <c r="O57" s="12"/>
      <c r="P57" s="15" t="str">
        <f t="shared" si="11"/>
        <v>#NUM!</v>
      </c>
      <c r="Q57" s="15"/>
    </row>
    <row r="58" ht="22.5" customHeight="1">
      <c r="A58" s="20"/>
      <c r="B58" s="20"/>
      <c r="C58" s="11" t="str">
        <f>'07-2025'!D98</f>
        <v/>
      </c>
      <c r="D58" s="20"/>
      <c r="E58" s="20"/>
      <c r="F58" s="21"/>
      <c r="G58" s="20"/>
      <c r="H58" s="22"/>
      <c r="I58" s="20"/>
      <c r="J58" s="23"/>
      <c r="K58" s="24"/>
      <c r="L58" s="24"/>
      <c r="M58" s="22"/>
      <c r="N58" s="25"/>
      <c r="O58" s="25"/>
      <c r="P58" s="22"/>
      <c r="Q58" s="22"/>
    </row>
  </sheetData>
  <conditionalFormatting sqref="L33">
    <cfRule type="containsText" dxfId="5" priority="1" operator="containsText" text="PARCIAL">
      <formula>NOT(ISERROR(SEARCH(("PARCIAL"),(L33))))</formula>
    </cfRule>
  </conditionalFormatting>
  <conditionalFormatting sqref="L2:L58 J58:K58">
    <cfRule type="containsText" dxfId="6" priority="2" operator="containsText" text="PENDIENTE">
      <formula>NOT(ISERROR(SEARCH(("PENDIENTE"),(L2))))</formula>
    </cfRule>
  </conditionalFormatting>
  <conditionalFormatting sqref="L2:L58 J58:K58">
    <cfRule type="containsText" dxfId="7" priority="3" operator="containsText" text="PAGADO">
      <formula>NOT(ISERROR(SEARCH(("PAGADO"),(L2))))</formula>
    </cfRule>
  </conditionalFormatting>
  <conditionalFormatting sqref="A2:Q58">
    <cfRule type="containsText" dxfId="8" priority="4" operator="containsText" text="NO APLICA">
      <formula>NOT(ISERROR(SEARCH(("NO APLICA"),(A2))))</formula>
    </cfRule>
  </conditionalFormatting>
  <conditionalFormatting sqref="A2:Q58">
    <cfRule type="containsText" dxfId="8" priority="5" operator="containsText" text="NO APLICA">
      <formula>NOT(ISERROR(SEARCH(("NO APLICA"),(A2))))</formula>
    </cfRule>
  </conditionalFormatting>
  <dataValidations>
    <dataValidation type="list" allowBlank="1" sqref="O2:O57">
      <formula1>"EFECTIVO,TRANSFERENCIA,CHEQUE,TARJETA"</formula1>
    </dataValidation>
    <dataValidation type="list" allowBlank="1" sqref="K2:K58">
      <formula1>"SI,NO"</formula1>
    </dataValidation>
    <dataValidation type="custom" allowBlank="1" showDropDown="1" sqref="A2:A58 C2:I58 M2:M58 P2:P58">
      <formula1>AND(ISNUMBER(A2),(NOT(OR(NOT(ISERROR(DATEVALUE(A2))), AND(ISNUMBER(A2), LEFT(CELL("format", A2))="D")))))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86"/>
    <col customWidth="1" min="2" max="2" width="27.57"/>
    <col customWidth="1" min="3" max="3" width="21.0"/>
    <col customWidth="1" min="4" max="4" width="19.29"/>
    <col customWidth="1" min="5" max="5" width="18.29"/>
    <col customWidth="1" min="6" max="6" width="14.86"/>
    <col customWidth="1" min="7" max="7" width="22.86"/>
    <col customWidth="1" min="8" max="8" width="15.43"/>
    <col customWidth="1" min="9" max="9" width="18.0"/>
    <col customWidth="1" min="10" max="10" width="22.43"/>
    <col customWidth="1" min="11" max="11" width="26.57"/>
    <col customWidth="1" min="12" max="12" width="21.14"/>
    <col customWidth="1" min="13" max="13" width="26.57"/>
    <col customWidth="1" min="14" max="14" width="16.57"/>
    <col customWidth="1" min="15" max="16" width="20.86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26">
        <v>1.0</v>
      </c>
      <c r="B2" s="12" t="str">
        <f>Usuarios!B2 &amp; " " &amp; Usuarios!C2 &amp; " " &amp; Usuarios!D2
</f>
        <v>Nancy Zuñiga Villarroel</v>
      </c>
      <c r="C2" s="27">
        <v>152.0</v>
      </c>
      <c r="D2" s="27">
        <v>165.0</v>
      </c>
      <c r="E2" s="26">
        <f t="shared" ref="E2:E21" si="1">D2-C2</f>
        <v>13</v>
      </c>
      <c r="F2" s="26">
        <v>1182.6</v>
      </c>
      <c r="G2" s="26">
        <f t="shared" ref="G2:G21" si="2">E2*F2</f>
        <v>15373.8</v>
      </c>
      <c r="H2" s="26">
        <v>5000.0</v>
      </c>
      <c r="I2" s="26">
        <f t="shared" ref="I2:I21" si="3">E2*F2+H2</f>
        <v>20373.8</v>
      </c>
      <c r="J2" s="12"/>
      <c r="K2" s="12"/>
      <c r="L2" s="17" t="s">
        <v>146</v>
      </c>
      <c r="M2" s="28">
        <f t="shared" ref="M2:M21" si="4">IF(L2="Pagado", I2, 0)
</f>
        <v>20373.8</v>
      </c>
      <c r="N2" s="12"/>
      <c r="O2" s="29"/>
      <c r="P2" s="26">
        <f t="shared" ref="P2:P21" si="5">IF(L2="NO APLICA",0, (I2-M2))</f>
        <v>0</v>
      </c>
      <c r="Q2" s="15"/>
    </row>
    <row r="3" ht="22.5" customHeight="1">
      <c r="A3" s="26">
        <v>2.0</v>
      </c>
      <c r="B3" s="12" t="str">
        <f>Usuarios!B3 &amp; " " &amp; Usuarios!C3 &amp; " " &amp; Usuarios!D3
</f>
        <v>Gabriel Barria Zuñiga</v>
      </c>
      <c r="C3" s="27">
        <v>235.0</v>
      </c>
      <c r="D3" s="27">
        <v>253.0</v>
      </c>
      <c r="E3" s="26">
        <f t="shared" si="1"/>
        <v>18</v>
      </c>
      <c r="F3" s="26">
        <v>1182.6</v>
      </c>
      <c r="G3" s="26">
        <f t="shared" si="2"/>
        <v>21286.8</v>
      </c>
      <c r="H3" s="26">
        <v>5000.0</v>
      </c>
      <c r="I3" s="26">
        <f t="shared" si="3"/>
        <v>26286.8</v>
      </c>
      <c r="J3" s="12"/>
      <c r="K3" s="12"/>
      <c r="L3" s="17" t="s">
        <v>146</v>
      </c>
      <c r="M3" s="28">
        <f t="shared" si="4"/>
        <v>26286.8</v>
      </c>
      <c r="N3" s="12"/>
      <c r="O3" s="29"/>
      <c r="P3" s="26">
        <f t="shared" si="5"/>
        <v>0</v>
      </c>
      <c r="Q3" s="15"/>
    </row>
    <row r="4" ht="22.5" customHeight="1">
      <c r="A4" s="26">
        <v>3.0</v>
      </c>
      <c r="B4" s="12" t="str">
        <f>Usuarios!B4 &amp; " " &amp; Usuarios!C4 &amp; " " &amp; Usuarios!D4
</f>
        <v>Gino  Reyes </v>
      </c>
      <c r="C4" s="27">
        <v>55.0</v>
      </c>
      <c r="D4" s="27">
        <v>55.0</v>
      </c>
      <c r="E4" s="26">
        <f t="shared" si="1"/>
        <v>0</v>
      </c>
      <c r="F4" s="26">
        <v>1182.6</v>
      </c>
      <c r="G4" s="26">
        <f t="shared" si="2"/>
        <v>0</v>
      </c>
      <c r="H4" s="26">
        <v>5000.0</v>
      </c>
      <c r="I4" s="26">
        <f t="shared" si="3"/>
        <v>5000</v>
      </c>
      <c r="J4" s="12"/>
      <c r="K4" s="12"/>
      <c r="L4" s="17" t="s">
        <v>146</v>
      </c>
      <c r="M4" s="28">
        <f t="shared" si="4"/>
        <v>5000</v>
      </c>
      <c r="N4" s="12"/>
      <c r="O4" s="29"/>
      <c r="P4" s="26">
        <f t="shared" si="5"/>
        <v>0</v>
      </c>
      <c r="Q4" s="15"/>
    </row>
    <row r="5" ht="22.5" customHeight="1">
      <c r="A5" s="26">
        <v>4.0</v>
      </c>
      <c r="B5" s="12" t="str">
        <f>Usuarios!B5 &amp; " " &amp; Usuarios!C5 &amp; " " &amp; Usuarios!D5
</f>
        <v>Cristian  Oyarzo </v>
      </c>
      <c r="C5" s="27">
        <v>390.0</v>
      </c>
      <c r="D5" s="27">
        <v>420.0</v>
      </c>
      <c r="E5" s="26">
        <f t="shared" si="1"/>
        <v>30</v>
      </c>
      <c r="F5" s="26">
        <v>1182.6</v>
      </c>
      <c r="G5" s="26">
        <f t="shared" si="2"/>
        <v>35478</v>
      </c>
      <c r="H5" s="26">
        <v>5000.0</v>
      </c>
      <c r="I5" s="26">
        <f t="shared" si="3"/>
        <v>40478</v>
      </c>
      <c r="J5" s="12"/>
      <c r="K5" s="12"/>
      <c r="L5" s="17" t="s">
        <v>146</v>
      </c>
      <c r="M5" s="28">
        <f t="shared" si="4"/>
        <v>40478</v>
      </c>
      <c r="N5" s="12"/>
      <c r="O5" s="29"/>
      <c r="P5" s="26">
        <f t="shared" si="5"/>
        <v>0</v>
      </c>
      <c r="Q5" s="15"/>
    </row>
    <row r="6" ht="22.5" customHeight="1">
      <c r="A6" s="26">
        <v>5.0</v>
      </c>
      <c r="B6" s="12" t="str">
        <f>Usuarios!B6 &amp; " " &amp; Usuarios!C6 &amp; " " &amp; Usuarios!D6
</f>
        <v>Marisol  Castro </v>
      </c>
      <c r="C6" s="27">
        <v>81.0</v>
      </c>
      <c r="D6" s="27">
        <v>88.0</v>
      </c>
      <c r="E6" s="26">
        <f t="shared" si="1"/>
        <v>7</v>
      </c>
      <c r="F6" s="26">
        <v>1182.6</v>
      </c>
      <c r="G6" s="26">
        <f t="shared" si="2"/>
        <v>8278.2</v>
      </c>
      <c r="H6" s="26">
        <v>5000.0</v>
      </c>
      <c r="I6" s="26">
        <f t="shared" si="3"/>
        <v>13278.2</v>
      </c>
      <c r="J6" s="12"/>
      <c r="K6" s="12"/>
      <c r="L6" s="17" t="s">
        <v>146</v>
      </c>
      <c r="M6" s="28">
        <f t="shared" si="4"/>
        <v>13278.2</v>
      </c>
      <c r="N6" s="12"/>
      <c r="O6" s="29"/>
      <c r="P6" s="26">
        <f t="shared" si="5"/>
        <v>0</v>
      </c>
      <c r="Q6" s="15"/>
    </row>
    <row r="7" ht="22.5" customHeight="1">
      <c r="A7" s="26">
        <v>6.0</v>
      </c>
      <c r="B7" s="12" t="str">
        <f>Usuarios!B7 &amp; " " &amp; Usuarios!C7 &amp; " " &amp; Usuarios!D7
</f>
        <v>Mauricio  Muñoz </v>
      </c>
      <c r="C7" s="27">
        <v>163.0</v>
      </c>
      <c r="D7" s="27">
        <v>174.0</v>
      </c>
      <c r="E7" s="26">
        <f t="shared" si="1"/>
        <v>11</v>
      </c>
      <c r="F7" s="26">
        <v>1182.6</v>
      </c>
      <c r="G7" s="26">
        <f t="shared" si="2"/>
        <v>13008.6</v>
      </c>
      <c r="H7" s="26">
        <v>5000.0</v>
      </c>
      <c r="I7" s="26">
        <f t="shared" si="3"/>
        <v>18008.6</v>
      </c>
      <c r="J7" s="12"/>
      <c r="K7" s="12"/>
      <c r="L7" s="17" t="s">
        <v>146</v>
      </c>
      <c r="M7" s="28">
        <f t="shared" si="4"/>
        <v>18008.6</v>
      </c>
      <c r="N7" s="12"/>
      <c r="O7" s="29"/>
      <c r="P7" s="26">
        <f t="shared" si="5"/>
        <v>0</v>
      </c>
      <c r="Q7" s="15"/>
    </row>
    <row r="8" ht="22.5" customHeight="1">
      <c r="A8" s="26">
        <v>7.0</v>
      </c>
      <c r="B8" s="12" t="str">
        <f>Usuarios!B8 &amp; " " &amp; Usuarios!C8 &amp; " " &amp; Usuarios!D8
</f>
        <v>Marcelo  Millanao </v>
      </c>
      <c r="C8" s="27">
        <v>200.0</v>
      </c>
      <c r="D8" s="27">
        <v>211.0</v>
      </c>
      <c r="E8" s="26">
        <f t="shared" si="1"/>
        <v>11</v>
      </c>
      <c r="F8" s="26">
        <v>1182.6</v>
      </c>
      <c r="G8" s="26">
        <f t="shared" si="2"/>
        <v>13008.6</v>
      </c>
      <c r="H8" s="26">
        <v>5000.0</v>
      </c>
      <c r="I8" s="26">
        <f t="shared" si="3"/>
        <v>18008.6</v>
      </c>
      <c r="J8" s="12"/>
      <c r="K8" s="12"/>
      <c r="L8" s="17" t="s">
        <v>146</v>
      </c>
      <c r="M8" s="28">
        <f t="shared" si="4"/>
        <v>18008.6</v>
      </c>
      <c r="N8" s="12"/>
      <c r="O8" s="29"/>
      <c r="P8" s="26">
        <f t="shared" si="5"/>
        <v>0</v>
      </c>
      <c r="Q8" s="15"/>
    </row>
    <row r="9" ht="22.5" customHeight="1">
      <c r="A9" s="26">
        <v>8.0</v>
      </c>
      <c r="B9" s="12" t="str">
        <f>Usuarios!B9 &amp; " " &amp; Usuarios!C9 &amp; " " &amp; Usuarios!D9
</f>
        <v>Gabriel  Farias </v>
      </c>
      <c r="C9" s="27">
        <v>353.0</v>
      </c>
      <c r="D9" s="27">
        <v>379.0</v>
      </c>
      <c r="E9" s="26">
        <f t="shared" si="1"/>
        <v>26</v>
      </c>
      <c r="F9" s="26">
        <v>1182.6</v>
      </c>
      <c r="G9" s="26">
        <f t="shared" si="2"/>
        <v>30747.6</v>
      </c>
      <c r="H9" s="26">
        <v>5000.0</v>
      </c>
      <c r="I9" s="26">
        <f t="shared" si="3"/>
        <v>35747.6</v>
      </c>
      <c r="J9" s="12"/>
      <c r="K9" s="12"/>
      <c r="L9" s="17" t="s">
        <v>146</v>
      </c>
      <c r="M9" s="28">
        <f t="shared" si="4"/>
        <v>35747.6</v>
      </c>
      <c r="N9" s="12"/>
      <c r="O9" s="29"/>
      <c r="P9" s="26">
        <f t="shared" si="5"/>
        <v>0</v>
      </c>
      <c r="Q9" s="15"/>
    </row>
    <row r="10" ht="22.5" customHeight="1">
      <c r="A10" s="26">
        <v>9.0</v>
      </c>
      <c r="B10" s="12" t="str">
        <f>Usuarios!B10 &amp; " " &amp; Usuarios!C10 &amp; " " &amp; Usuarios!D10
</f>
        <v>Maria  Marin </v>
      </c>
      <c r="C10" s="27">
        <v>126.0</v>
      </c>
      <c r="D10" s="27">
        <v>137.0</v>
      </c>
      <c r="E10" s="26">
        <f t="shared" si="1"/>
        <v>11</v>
      </c>
      <c r="F10" s="26">
        <v>1182.6</v>
      </c>
      <c r="G10" s="26">
        <f t="shared" si="2"/>
        <v>13008.6</v>
      </c>
      <c r="H10" s="26">
        <v>5000.0</v>
      </c>
      <c r="I10" s="26">
        <f t="shared" si="3"/>
        <v>18008.6</v>
      </c>
      <c r="J10" s="12"/>
      <c r="K10" s="12"/>
      <c r="L10" s="17" t="s">
        <v>146</v>
      </c>
      <c r="M10" s="28">
        <f t="shared" si="4"/>
        <v>18008.6</v>
      </c>
      <c r="N10" s="12"/>
      <c r="O10" s="29"/>
      <c r="P10" s="26">
        <f t="shared" si="5"/>
        <v>0</v>
      </c>
      <c r="Q10" s="15"/>
    </row>
    <row r="11" ht="22.5" customHeight="1">
      <c r="A11" s="26">
        <v>10.0</v>
      </c>
      <c r="B11" s="12" t="str">
        <f>Usuarios!B11 &amp; " " &amp; Usuarios!C11 &amp; " " &amp; Usuarios!D11
</f>
        <v>David  Cartes </v>
      </c>
      <c r="C11" s="27">
        <v>90.0</v>
      </c>
      <c r="D11" s="27">
        <v>97.0</v>
      </c>
      <c r="E11" s="26">
        <f t="shared" si="1"/>
        <v>7</v>
      </c>
      <c r="F11" s="26">
        <v>1182.6</v>
      </c>
      <c r="G11" s="26">
        <f t="shared" si="2"/>
        <v>8278.2</v>
      </c>
      <c r="H11" s="26">
        <v>5000.0</v>
      </c>
      <c r="I11" s="26">
        <f t="shared" si="3"/>
        <v>13278.2</v>
      </c>
      <c r="J11" s="12"/>
      <c r="K11" s="12"/>
      <c r="L11" s="17" t="s">
        <v>146</v>
      </c>
      <c r="M11" s="28">
        <f t="shared" si="4"/>
        <v>13278.2</v>
      </c>
      <c r="N11" s="12"/>
      <c r="O11" s="29"/>
      <c r="P11" s="26">
        <f t="shared" si="5"/>
        <v>0</v>
      </c>
      <c r="Q11" s="15"/>
    </row>
    <row r="12" ht="22.5" customHeight="1">
      <c r="A12" s="26">
        <v>11.0</v>
      </c>
      <c r="B12" s="12" t="str">
        <f>Usuarios!B12 &amp; " " &amp; Usuarios!C12 &amp; " " &amp; Usuarios!D12
</f>
        <v>Miguel  Ñanco </v>
      </c>
      <c r="C12" s="27">
        <v>159.0</v>
      </c>
      <c r="D12" s="27">
        <v>189.0</v>
      </c>
      <c r="E12" s="26">
        <f t="shared" si="1"/>
        <v>30</v>
      </c>
      <c r="F12" s="26">
        <v>1182.6</v>
      </c>
      <c r="G12" s="26">
        <f t="shared" si="2"/>
        <v>35478</v>
      </c>
      <c r="H12" s="26">
        <v>5000.0</v>
      </c>
      <c r="I12" s="26">
        <f t="shared" si="3"/>
        <v>40478</v>
      </c>
      <c r="J12" s="12"/>
      <c r="K12" s="12"/>
      <c r="L12" s="17" t="s">
        <v>146</v>
      </c>
      <c r="M12" s="28">
        <f t="shared" si="4"/>
        <v>40478</v>
      </c>
      <c r="N12" s="12"/>
      <c r="O12" s="29"/>
      <c r="P12" s="26">
        <f t="shared" si="5"/>
        <v>0</v>
      </c>
      <c r="Q12" s="15"/>
    </row>
    <row r="13" ht="22.5" customHeight="1">
      <c r="A13" s="26">
        <v>12.0</v>
      </c>
      <c r="B13" s="12" t="str">
        <f>Usuarios!B13 &amp; " " &amp; Usuarios!C13 &amp; " " &amp; Usuarios!D13
</f>
        <v>Pedro  Contreras </v>
      </c>
      <c r="C13" s="27">
        <v>90.0</v>
      </c>
      <c r="D13" s="27">
        <v>97.0</v>
      </c>
      <c r="E13" s="26">
        <f t="shared" si="1"/>
        <v>7</v>
      </c>
      <c r="F13" s="26">
        <v>1182.6</v>
      </c>
      <c r="G13" s="26">
        <f t="shared" si="2"/>
        <v>8278.2</v>
      </c>
      <c r="H13" s="26">
        <v>5000.0</v>
      </c>
      <c r="I13" s="26">
        <f t="shared" si="3"/>
        <v>13278.2</v>
      </c>
      <c r="J13" s="12"/>
      <c r="K13" s="12"/>
      <c r="L13" s="17" t="s">
        <v>146</v>
      </c>
      <c r="M13" s="28">
        <f t="shared" si="4"/>
        <v>13278.2</v>
      </c>
      <c r="N13" s="12"/>
      <c r="O13" s="29"/>
      <c r="P13" s="26">
        <f t="shared" si="5"/>
        <v>0</v>
      </c>
      <c r="Q13" s="15"/>
    </row>
    <row r="14" ht="22.5" customHeight="1">
      <c r="A14" s="26">
        <v>13.0</v>
      </c>
      <c r="B14" s="12" t="str">
        <f>Usuarios!B14 &amp; " " &amp; Usuarios!C14 &amp; " " &amp; Usuarios!D14
</f>
        <v>Carlos  Gamin </v>
      </c>
      <c r="C14" s="27">
        <v>148.0</v>
      </c>
      <c r="D14" s="27">
        <v>158.0</v>
      </c>
      <c r="E14" s="26">
        <f t="shared" si="1"/>
        <v>10</v>
      </c>
      <c r="F14" s="26">
        <v>1182.6</v>
      </c>
      <c r="G14" s="26">
        <f t="shared" si="2"/>
        <v>11826</v>
      </c>
      <c r="H14" s="26">
        <v>5000.0</v>
      </c>
      <c r="I14" s="26">
        <f t="shared" si="3"/>
        <v>16826</v>
      </c>
      <c r="J14" s="12"/>
      <c r="K14" s="12"/>
      <c r="L14" s="17" t="s">
        <v>146</v>
      </c>
      <c r="M14" s="28">
        <f t="shared" si="4"/>
        <v>16826</v>
      </c>
      <c r="N14" s="12"/>
      <c r="O14" s="29"/>
      <c r="P14" s="26">
        <f t="shared" si="5"/>
        <v>0</v>
      </c>
      <c r="Q14" s="15"/>
    </row>
    <row r="15" ht="22.5" customHeight="1">
      <c r="A15" s="26">
        <v>14.0</v>
      </c>
      <c r="B15" s="12" t="str">
        <f>Usuarios!B15 &amp; " " &amp; Usuarios!C15 &amp; " " &amp; Usuarios!D15
</f>
        <v>Ramona  Mansilla </v>
      </c>
      <c r="C15" s="27">
        <v>38.0</v>
      </c>
      <c r="D15" s="27">
        <v>40.0</v>
      </c>
      <c r="E15" s="26">
        <f t="shared" si="1"/>
        <v>2</v>
      </c>
      <c r="F15" s="26">
        <v>1182.6</v>
      </c>
      <c r="G15" s="26">
        <f t="shared" si="2"/>
        <v>2365.2</v>
      </c>
      <c r="H15" s="26">
        <v>5000.0</v>
      </c>
      <c r="I15" s="26">
        <f t="shared" si="3"/>
        <v>7365.2</v>
      </c>
      <c r="J15" s="12"/>
      <c r="K15" s="12"/>
      <c r="L15" s="17" t="s">
        <v>146</v>
      </c>
      <c r="M15" s="28">
        <f t="shared" si="4"/>
        <v>7365.2</v>
      </c>
      <c r="N15" s="12"/>
      <c r="O15" s="29"/>
      <c r="P15" s="26">
        <f t="shared" si="5"/>
        <v>0</v>
      </c>
      <c r="Q15" s="15"/>
    </row>
    <row r="16" ht="22.5" customHeight="1">
      <c r="A16" s="26">
        <v>15.0</v>
      </c>
      <c r="B16" s="12" t="str">
        <f>Usuarios!B16 &amp; " " &amp; Usuarios!C16 &amp; " " &amp; Usuarios!D16
</f>
        <v>Sandra Mancilla  Merino</v>
      </c>
      <c r="C16" s="27">
        <v>104.0</v>
      </c>
      <c r="D16" s="27">
        <v>116.0</v>
      </c>
      <c r="E16" s="26">
        <f t="shared" si="1"/>
        <v>12</v>
      </c>
      <c r="F16" s="26">
        <v>1182.6</v>
      </c>
      <c r="G16" s="26">
        <f t="shared" si="2"/>
        <v>14191.2</v>
      </c>
      <c r="H16" s="26">
        <v>5000.0</v>
      </c>
      <c r="I16" s="26">
        <f t="shared" si="3"/>
        <v>19191.2</v>
      </c>
      <c r="J16" s="12"/>
      <c r="K16" s="12"/>
      <c r="L16" s="29" t="s">
        <v>143</v>
      </c>
      <c r="M16" s="28">
        <f t="shared" si="4"/>
        <v>0</v>
      </c>
      <c r="N16" s="12"/>
      <c r="O16" s="29"/>
      <c r="P16" s="26">
        <f t="shared" si="5"/>
        <v>19191.2</v>
      </c>
      <c r="Q16" s="15"/>
    </row>
    <row r="17" ht="22.5" customHeight="1">
      <c r="A17" s="26">
        <v>16.0</v>
      </c>
      <c r="B17" s="12" t="str">
        <f>Usuarios!B17 &amp; " " &amp; Usuarios!C17 &amp; " " &amp; Usuarios!D17
</f>
        <v>Carlos  Agüero </v>
      </c>
      <c r="C17" s="27">
        <v>137.0</v>
      </c>
      <c r="D17" s="27">
        <v>150.0</v>
      </c>
      <c r="E17" s="26">
        <f t="shared" si="1"/>
        <v>13</v>
      </c>
      <c r="F17" s="26">
        <v>1182.6</v>
      </c>
      <c r="G17" s="26">
        <f t="shared" si="2"/>
        <v>15373.8</v>
      </c>
      <c r="H17" s="26">
        <v>5000.0</v>
      </c>
      <c r="I17" s="26">
        <f t="shared" si="3"/>
        <v>20373.8</v>
      </c>
      <c r="J17" s="12"/>
      <c r="K17" s="12"/>
      <c r="L17" s="17" t="s">
        <v>146</v>
      </c>
      <c r="M17" s="28">
        <f t="shared" si="4"/>
        <v>20373.8</v>
      </c>
      <c r="N17" s="12"/>
      <c r="O17" s="29"/>
      <c r="P17" s="26">
        <f t="shared" si="5"/>
        <v>0</v>
      </c>
      <c r="Q17" s="15"/>
    </row>
    <row r="18" ht="22.5" customHeight="1">
      <c r="A18" s="26">
        <v>17.0</v>
      </c>
      <c r="B18" s="12" t="str">
        <f>Usuarios!B18 &amp; " " &amp; Usuarios!C18 &amp; " " &amp; Usuarios!D18
</f>
        <v>Joaquin  Claramunt </v>
      </c>
      <c r="C18" s="27">
        <v>130.0</v>
      </c>
      <c r="D18" s="27">
        <v>145.0</v>
      </c>
      <c r="E18" s="26">
        <f t="shared" si="1"/>
        <v>15</v>
      </c>
      <c r="F18" s="26">
        <v>1182.6</v>
      </c>
      <c r="G18" s="26">
        <f t="shared" si="2"/>
        <v>17739</v>
      </c>
      <c r="H18" s="26">
        <v>5000.0</v>
      </c>
      <c r="I18" s="26">
        <f t="shared" si="3"/>
        <v>22739</v>
      </c>
      <c r="J18" s="12"/>
      <c r="K18" s="12"/>
      <c r="L18" s="29" t="s">
        <v>143</v>
      </c>
      <c r="M18" s="28">
        <f t="shared" si="4"/>
        <v>0</v>
      </c>
      <c r="N18" s="12"/>
      <c r="O18" s="29"/>
      <c r="P18" s="26">
        <f t="shared" si="5"/>
        <v>22739</v>
      </c>
      <c r="Q18" s="15"/>
    </row>
    <row r="19" ht="22.5" customHeight="1">
      <c r="A19" s="26">
        <v>18.0</v>
      </c>
      <c r="B19" s="12" t="str">
        <f>Usuarios!B19 &amp; " " &amp; Usuarios!C19 &amp; " " &amp; Usuarios!D19
</f>
        <v>Nelson  Mansilla </v>
      </c>
      <c r="C19" s="27">
        <v>106.0</v>
      </c>
      <c r="D19" s="27">
        <v>113.0</v>
      </c>
      <c r="E19" s="26">
        <f t="shared" si="1"/>
        <v>7</v>
      </c>
      <c r="F19" s="26">
        <v>1182.6</v>
      </c>
      <c r="G19" s="26">
        <f t="shared" si="2"/>
        <v>8278.2</v>
      </c>
      <c r="H19" s="26">
        <v>5000.0</v>
      </c>
      <c r="I19" s="26">
        <f t="shared" si="3"/>
        <v>13278.2</v>
      </c>
      <c r="J19" s="12"/>
      <c r="K19" s="12"/>
      <c r="L19" s="17" t="s">
        <v>146</v>
      </c>
      <c r="M19" s="28">
        <f t="shared" si="4"/>
        <v>13278.2</v>
      </c>
      <c r="N19" s="12"/>
      <c r="O19" s="29"/>
      <c r="P19" s="26">
        <f t="shared" si="5"/>
        <v>0</v>
      </c>
      <c r="Q19" s="15"/>
    </row>
    <row r="20" ht="22.5" customHeight="1">
      <c r="A20" s="26">
        <v>19.0</v>
      </c>
      <c r="B20" s="12" t="str">
        <f>Usuarios!B20 &amp; " " &amp; Usuarios!C20 &amp; " " &amp; Usuarios!D20
</f>
        <v>Eduardo  Chavez </v>
      </c>
      <c r="C20" s="27">
        <v>61.0</v>
      </c>
      <c r="D20" s="27">
        <v>67.0</v>
      </c>
      <c r="E20" s="26">
        <f t="shared" si="1"/>
        <v>6</v>
      </c>
      <c r="F20" s="26">
        <v>1182.6</v>
      </c>
      <c r="G20" s="26">
        <f t="shared" si="2"/>
        <v>7095.6</v>
      </c>
      <c r="H20" s="26">
        <v>5000.0</v>
      </c>
      <c r="I20" s="26">
        <f t="shared" si="3"/>
        <v>12095.6</v>
      </c>
      <c r="J20" s="12"/>
      <c r="K20" s="12"/>
      <c r="L20" s="17" t="s">
        <v>146</v>
      </c>
      <c r="M20" s="28">
        <f t="shared" si="4"/>
        <v>12095.6</v>
      </c>
      <c r="N20" s="12"/>
      <c r="O20" s="29"/>
      <c r="P20" s="26">
        <f t="shared" si="5"/>
        <v>0</v>
      </c>
      <c r="Q20" s="15"/>
    </row>
    <row r="21" ht="22.5" customHeight="1">
      <c r="A21" s="26">
        <v>20.0</v>
      </c>
      <c r="B21" s="12" t="str">
        <f>Usuarios!B21 &amp; " " &amp; Usuarios!C21 &amp; " " &amp; Usuarios!D21
</f>
        <v>Juan  Chavez </v>
      </c>
      <c r="C21" s="27">
        <v>20.0</v>
      </c>
      <c r="D21" s="27">
        <v>21.0</v>
      </c>
      <c r="E21" s="26">
        <f t="shared" si="1"/>
        <v>1</v>
      </c>
      <c r="F21" s="26">
        <v>1182.6</v>
      </c>
      <c r="G21" s="26">
        <f t="shared" si="2"/>
        <v>1182.6</v>
      </c>
      <c r="H21" s="26">
        <v>5000.0</v>
      </c>
      <c r="I21" s="26">
        <f t="shared" si="3"/>
        <v>6182.6</v>
      </c>
      <c r="J21" s="12"/>
      <c r="K21" s="12"/>
      <c r="L21" s="17" t="s">
        <v>146</v>
      </c>
      <c r="M21" s="28">
        <f t="shared" si="4"/>
        <v>6182.6</v>
      </c>
      <c r="N21" s="12"/>
      <c r="O21" s="29"/>
      <c r="P21" s="26">
        <f t="shared" si="5"/>
        <v>0</v>
      </c>
      <c r="Q21" s="15"/>
    </row>
    <row r="22" ht="22.5" customHeight="1">
      <c r="A22" s="26">
        <v>21.0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1"/>
      <c r="M22" s="30"/>
      <c r="N22" s="30"/>
      <c r="O22" s="31"/>
      <c r="P22" s="30"/>
      <c r="Q22" s="30"/>
    </row>
    <row r="23" ht="22.5" customHeight="1">
      <c r="A23" s="26">
        <v>22.0</v>
      </c>
      <c r="B23" s="12" t="str">
        <f>Usuarios!B23 &amp; " " &amp; Usuarios!C23 &amp; " " &amp; Usuarios!D23
</f>
        <v>Yuri  Millaquen </v>
      </c>
      <c r="C23" s="27">
        <v>119.0</v>
      </c>
      <c r="D23" s="27">
        <v>130.0</v>
      </c>
      <c r="E23" s="26">
        <f t="shared" ref="E23:E58" si="6">D23-C23</f>
        <v>11</v>
      </c>
      <c r="F23" s="26">
        <v>1182.6</v>
      </c>
      <c r="G23" s="26">
        <f t="shared" ref="G23:G58" si="7">E23*F23</f>
        <v>13008.6</v>
      </c>
      <c r="H23" s="26">
        <v>5000.0</v>
      </c>
      <c r="I23" s="26">
        <f t="shared" ref="I23:I58" si="8">E23*F23+H23</f>
        <v>18008.6</v>
      </c>
      <c r="J23" s="12"/>
      <c r="K23" s="12"/>
      <c r="L23" s="17" t="s">
        <v>146</v>
      </c>
      <c r="M23" s="28">
        <f t="shared" ref="M23:M58" si="9">IF(L23="Pagado", I23, 0)
</f>
        <v>18008.6</v>
      </c>
      <c r="N23" s="12"/>
      <c r="O23" s="29"/>
      <c r="P23" s="26">
        <f t="shared" ref="P23:P58" si="10">IF(L23="NO APLICA",0, (I23-M23))</f>
        <v>0</v>
      </c>
      <c r="Q23" s="15"/>
    </row>
    <row r="24" ht="22.5" customHeight="1">
      <c r="A24" s="26">
        <v>23.0</v>
      </c>
      <c r="B24" s="12" t="str">
        <f>Usuarios!B24 &amp; " " &amp; Usuarios!C24 &amp; " " &amp; Usuarios!D24
</f>
        <v>Carlos  Nahuelpan </v>
      </c>
      <c r="C24" s="27">
        <v>83.0</v>
      </c>
      <c r="D24" s="27">
        <v>92.0</v>
      </c>
      <c r="E24" s="26">
        <f t="shared" si="6"/>
        <v>9</v>
      </c>
      <c r="F24" s="26">
        <v>1182.6</v>
      </c>
      <c r="G24" s="26">
        <f t="shared" si="7"/>
        <v>10643.4</v>
      </c>
      <c r="H24" s="26">
        <v>5000.0</v>
      </c>
      <c r="I24" s="26">
        <f t="shared" si="8"/>
        <v>15643.4</v>
      </c>
      <c r="J24" s="12"/>
      <c r="K24" s="12"/>
      <c r="L24" s="17" t="s">
        <v>146</v>
      </c>
      <c r="M24" s="28">
        <f t="shared" si="9"/>
        <v>15643.4</v>
      </c>
      <c r="N24" s="12"/>
      <c r="O24" s="29"/>
      <c r="P24" s="26">
        <f t="shared" si="10"/>
        <v>0</v>
      </c>
      <c r="Q24" s="15"/>
    </row>
    <row r="25" ht="22.5" customHeight="1">
      <c r="A25" s="26">
        <v>24.0</v>
      </c>
      <c r="B25" s="12" t="str">
        <f>Usuarios!B25 &amp; " " &amp; Usuarios!C25 &amp; " " &amp; Usuarios!D25
</f>
        <v>Maria Velasquez  Miranda</v>
      </c>
      <c r="C25" s="27">
        <v>184.0</v>
      </c>
      <c r="D25" s="27">
        <v>203.0</v>
      </c>
      <c r="E25" s="26">
        <f t="shared" si="6"/>
        <v>19</v>
      </c>
      <c r="F25" s="26">
        <v>1182.6</v>
      </c>
      <c r="G25" s="26">
        <f t="shared" si="7"/>
        <v>22469.4</v>
      </c>
      <c r="H25" s="26">
        <v>5000.0</v>
      </c>
      <c r="I25" s="26">
        <f t="shared" si="8"/>
        <v>27469.4</v>
      </c>
      <c r="J25" s="12"/>
      <c r="K25" s="12"/>
      <c r="L25" s="17" t="s">
        <v>146</v>
      </c>
      <c r="M25" s="28">
        <f t="shared" si="9"/>
        <v>27469.4</v>
      </c>
      <c r="N25" s="12"/>
      <c r="O25" s="29"/>
      <c r="P25" s="26">
        <f t="shared" si="10"/>
        <v>0</v>
      </c>
      <c r="Q25" s="15"/>
    </row>
    <row r="26" ht="22.5" customHeight="1">
      <c r="A26" s="26">
        <v>25.0</v>
      </c>
      <c r="B26" s="12" t="str">
        <f>Usuarios!B26 &amp; " " &amp; Usuarios!C26 &amp; " " &amp; Usuarios!D26
</f>
        <v>Inés  Velasquez </v>
      </c>
      <c r="C26" s="27">
        <v>96.0</v>
      </c>
      <c r="D26" s="27">
        <v>100.0</v>
      </c>
      <c r="E26" s="26">
        <f t="shared" si="6"/>
        <v>4</v>
      </c>
      <c r="F26" s="26">
        <v>1182.6</v>
      </c>
      <c r="G26" s="26">
        <f t="shared" si="7"/>
        <v>4730.4</v>
      </c>
      <c r="H26" s="26">
        <v>5000.0</v>
      </c>
      <c r="I26" s="26">
        <f t="shared" si="8"/>
        <v>9730.4</v>
      </c>
      <c r="J26" s="12"/>
      <c r="K26" s="12"/>
      <c r="L26" s="17" t="s">
        <v>146</v>
      </c>
      <c r="M26" s="28">
        <f t="shared" si="9"/>
        <v>9730.4</v>
      </c>
      <c r="N26" s="12"/>
      <c r="O26" s="29"/>
      <c r="P26" s="26">
        <f t="shared" si="10"/>
        <v>0</v>
      </c>
      <c r="Q26" s="15"/>
    </row>
    <row r="27" ht="22.5" customHeight="1">
      <c r="A27" s="26">
        <v>26.0</v>
      </c>
      <c r="B27" s="12" t="str">
        <f>Usuarios!B27 &amp; " " &amp; Usuarios!C27 &amp; " " &amp; Usuarios!D27
</f>
        <v>Guido  Quintuy </v>
      </c>
      <c r="C27" s="27">
        <v>109.0</v>
      </c>
      <c r="D27" s="27">
        <v>117.0</v>
      </c>
      <c r="E27" s="26">
        <f t="shared" si="6"/>
        <v>8</v>
      </c>
      <c r="F27" s="26">
        <v>1182.6</v>
      </c>
      <c r="G27" s="26">
        <f t="shared" si="7"/>
        <v>9460.8</v>
      </c>
      <c r="H27" s="26">
        <v>5000.0</v>
      </c>
      <c r="I27" s="26">
        <f t="shared" si="8"/>
        <v>14460.8</v>
      </c>
      <c r="J27" s="12"/>
      <c r="K27" s="12"/>
      <c r="L27" s="17" t="s">
        <v>146</v>
      </c>
      <c r="M27" s="28">
        <f t="shared" si="9"/>
        <v>14460.8</v>
      </c>
      <c r="N27" s="12"/>
      <c r="O27" s="29"/>
      <c r="P27" s="26">
        <f t="shared" si="10"/>
        <v>0</v>
      </c>
      <c r="Q27" s="15"/>
    </row>
    <row r="28" ht="22.5" customHeight="1">
      <c r="A28" s="26">
        <v>27.0</v>
      </c>
      <c r="B28" s="12" t="str">
        <f>Usuarios!B28 &amp; " " &amp; Usuarios!C28 &amp; " " &amp; Usuarios!D28
</f>
        <v>Pedro  Almonacid </v>
      </c>
      <c r="C28" s="27">
        <v>160.0</v>
      </c>
      <c r="D28" s="27">
        <v>177.0</v>
      </c>
      <c r="E28" s="26">
        <f t="shared" si="6"/>
        <v>17</v>
      </c>
      <c r="F28" s="26">
        <v>1182.6</v>
      </c>
      <c r="G28" s="26">
        <f t="shared" si="7"/>
        <v>20104.2</v>
      </c>
      <c r="H28" s="26">
        <v>5000.0</v>
      </c>
      <c r="I28" s="26">
        <f t="shared" si="8"/>
        <v>25104.2</v>
      </c>
      <c r="J28" s="12"/>
      <c r="K28" s="12"/>
      <c r="L28" s="17" t="s">
        <v>143</v>
      </c>
      <c r="M28" s="28">
        <f t="shared" si="9"/>
        <v>0</v>
      </c>
      <c r="N28" s="12"/>
      <c r="O28" s="29"/>
      <c r="P28" s="26">
        <f t="shared" si="10"/>
        <v>25104.2</v>
      </c>
      <c r="Q28" s="15"/>
    </row>
    <row r="29" ht="22.5" customHeight="1">
      <c r="A29" s="26">
        <v>28.0</v>
      </c>
      <c r="B29" s="12" t="str">
        <f>Usuarios!B29 &amp; " " &amp; Usuarios!C29 &amp; " " &amp; Usuarios!D29
</f>
        <v>Nora  Ñanco </v>
      </c>
      <c r="C29" s="27">
        <v>363.0</v>
      </c>
      <c r="D29" s="27">
        <v>381.0</v>
      </c>
      <c r="E29" s="26">
        <f t="shared" si="6"/>
        <v>18</v>
      </c>
      <c r="F29" s="26">
        <v>1182.6</v>
      </c>
      <c r="G29" s="26">
        <f t="shared" si="7"/>
        <v>21286.8</v>
      </c>
      <c r="H29" s="26">
        <v>5000.0</v>
      </c>
      <c r="I29" s="26">
        <f t="shared" si="8"/>
        <v>26286.8</v>
      </c>
      <c r="J29" s="12"/>
      <c r="K29" s="12"/>
      <c r="L29" s="17" t="s">
        <v>146</v>
      </c>
      <c r="M29" s="28">
        <f t="shared" si="9"/>
        <v>26286.8</v>
      </c>
      <c r="N29" s="12"/>
      <c r="O29" s="29"/>
      <c r="P29" s="26">
        <f t="shared" si="10"/>
        <v>0</v>
      </c>
      <c r="Q29" s="15"/>
    </row>
    <row r="30" ht="22.5" customHeight="1">
      <c r="A30" s="26">
        <v>29.0</v>
      </c>
      <c r="B30" s="12" t="str">
        <f>Usuarios!B30 &amp; " " &amp; Usuarios!C30 &amp; " " &amp; Usuarios!D30
</f>
        <v>Miriam  Alvarado </v>
      </c>
      <c r="C30" s="27">
        <v>488.0</v>
      </c>
      <c r="D30" s="27">
        <v>515.0</v>
      </c>
      <c r="E30" s="26">
        <f t="shared" si="6"/>
        <v>27</v>
      </c>
      <c r="F30" s="26">
        <v>1182.6</v>
      </c>
      <c r="G30" s="26">
        <f t="shared" si="7"/>
        <v>31930.2</v>
      </c>
      <c r="H30" s="26">
        <v>5000.0</v>
      </c>
      <c r="I30" s="26">
        <f t="shared" si="8"/>
        <v>36930.2</v>
      </c>
      <c r="J30" s="12"/>
      <c r="K30" s="12"/>
      <c r="L30" s="17" t="s">
        <v>146</v>
      </c>
      <c r="M30" s="28">
        <f t="shared" si="9"/>
        <v>36930.2</v>
      </c>
      <c r="N30" s="12"/>
      <c r="O30" s="29"/>
      <c r="P30" s="26">
        <f t="shared" si="10"/>
        <v>0</v>
      </c>
      <c r="Q30" s="15"/>
    </row>
    <row r="31" ht="22.5" customHeight="1">
      <c r="A31" s="26">
        <v>30.0</v>
      </c>
      <c r="B31" s="12" t="str">
        <f>Usuarios!B31 &amp; " " &amp; Usuarios!C31 &amp; " " &amp; Usuarios!D31
</f>
        <v>Luz  Maldonado </v>
      </c>
      <c r="C31" s="27">
        <v>5.0</v>
      </c>
      <c r="D31" s="27">
        <v>5.0</v>
      </c>
      <c r="E31" s="26">
        <f t="shared" si="6"/>
        <v>0</v>
      </c>
      <c r="F31" s="26">
        <v>1182.6</v>
      </c>
      <c r="G31" s="26">
        <f t="shared" si="7"/>
        <v>0</v>
      </c>
      <c r="H31" s="26">
        <v>5000.0</v>
      </c>
      <c r="I31" s="26">
        <f t="shared" si="8"/>
        <v>5000</v>
      </c>
      <c r="J31" s="12"/>
      <c r="K31" s="12"/>
      <c r="L31" s="17" t="s">
        <v>146</v>
      </c>
      <c r="M31" s="28">
        <f t="shared" si="9"/>
        <v>5000</v>
      </c>
      <c r="N31" s="12"/>
      <c r="O31" s="29"/>
      <c r="P31" s="26">
        <f t="shared" si="10"/>
        <v>0</v>
      </c>
      <c r="Q31" s="15"/>
    </row>
    <row r="32" ht="22.5" customHeight="1">
      <c r="A32" s="26">
        <v>31.0</v>
      </c>
      <c r="B32" s="12" t="str">
        <f>Usuarios!B32 &amp; " " &amp; Usuarios!C32 &amp; " " &amp; Usuarios!D32
</f>
        <v>Patricia  Carcamo  Gonzales</v>
      </c>
      <c r="C32" s="27">
        <v>90.0</v>
      </c>
      <c r="D32" s="27">
        <v>113.0</v>
      </c>
      <c r="E32" s="26">
        <f t="shared" si="6"/>
        <v>23</v>
      </c>
      <c r="F32" s="26">
        <v>1182.6</v>
      </c>
      <c r="G32" s="26">
        <f t="shared" si="7"/>
        <v>27199.8</v>
      </c>
      <c r="H32" s="26">
        <v>5000.0</v>
      </c>
      <c r="I32" s="26">
        <f t="shared" si="8"/>
        <v>32199.8</v>
      </c>
      <c r="J32" s="12"/>
      <c r="K32" s="12"/>
      <c r="L32" s="17" t="s">
        <v>146</v>
      </c>
      <c r="M32" s="28">
        <f t="shared" si="9"/>
        <v>32199.8</v>
      </c>
      <c r="N32" s="12"/>
      <c r="O32" s="29"/>
      <c r="P32" s="26">
        <f t="shared" si="10"/>
        <v>0</v>
      </c>
      <c r="Q32" s="15"/>
    </row>
    <row r="33" ht="22.5" customHeight="1">
      <c r="A33" s="26">
        <v>32.0</v>
      </c>
      <c r="B33" s="12" t="str">
        <f>Usuarios!B33 &amp; " " &amp; Usuarios!C33 &amp; " " &amp; Usuarios!D33
</f>
        <v>Natividad  Soto </v>
      </c>
      <c r="C33" s="27">
        <v>59.0</v>
      </c>
      <c r="D33" s="27">
        <v>66.0</v>
      </c>
      <c r="E33" s="26">
        <f t="shared" si="6"/>
        <v>7</v>
      </c>
      <c r="F33" s="26">
        <v>1182.6</v>
      </c>
      <c r="G33" s="26">
        <f t="shared" si="7"/>
        <v>8278.2</v>
      </c>
      <c r="H33" s="26">
        <v>5000.0</v>
      </c>
      <c r="I33" s="26">
        <f t="shared" si="8"/>
        <v>13278.2</v>
      </c>
      <c r="J33" s="12"/>
      <c r="K33" s="12"/>
      <c r="L33" s="17" t="s">
        <v>146</v>
      </c>
      <c r="M33" s="28">
        <f t="shared" si="9"/>
        <v>13278.2</v>
      </c>
      <c r="N33" s="12"/>
      <c r="O33" s="29"/>
      <c r="P33" s="26">
        <f t="shared" si="10"/>
        <v>0</v>
      </c>
      <c r="Q33" s="15"/>
    </row>
    <row r="34" ht="22.5" customHeight="1">
      <c r="A34" s="26">
        <v>33.0</v>
      </c>
      <c r="B34" s="12" t="str">
        <f>Usuarios!B34 &amp; " " &amp; Usuarios!C34 &amp; " " &amp; Usuarios!D34
</f>
        <v>Maria Oliva  Soto  Almonacid</v>
      </c>
      <c r="C34" s="27">
        <v>41.0</v>
      </c>
      <c r="D34" s="27">
        <v>43.0</v>
      </c>
      <c r="E34" s="26">
        <f t="shared" si="6"/>
        <v>2</v>
      </c>
      <c r="F34" s="26">
        <v>1182.6</v>
      </c>
      <c r="G34" s="26">
        <f t="shared" si="7"/>
        <v>2365.2</v>
      </c>
      <c r="H34" s="26">
        <v>5000.0</v>
      </c>
      <c r="I34" s="26">
        <f t="shared" si="8"/>
        <v>7365.2</v>
      </c>
      <c r="J34" s="12"/>
      <c r="K34" s="12"/>
      <c r="L34" s="17" t="s">
        <v>146</v>
      </c>
      <c r="M34" s="28">
        <f t="shared" si="9"/>
        <v>7365.2</v>
      </c>
      <c r="N34" s="12"/>
      <c r="O34" s="29"/>
      <c r="P34" s="26">
        <f t="shared" si="10"/>
        <v>0</v>
      </c>
      <c r="Q34" s="15"/>
    </row>
    <row r="35" ht="22.5" customHeight="1">
      <c r="A35" s="26">
        <v>34.0</v>
      </c>
      <c r="B35" s="12" t="str">
        <f>Usuarios!B35 &amp; " " &amp; Usuarios!C35 &amp; " " &amp; Usuarios!D35
</f>
        <v>Vanesa  Aguilar </v>
      </c>
      <c r="C35" s="27">
        <v>420.0</v>
      </c>
      <c r="D35" s="27">
        <v>452.0</v>
      </c>
      <c r="E35" s="26">
        <f t="shared" si="6"/>
        <v>32</v>
      </c>
      <c r="F35" s="26">
        <v>1182.6</v>
      </c>
      <c r="G35" s="26">
        <f t="shared" si="7"/>
        <v>37843.2</v>
      </c>
      <c r="H35" s="26">
        <v>5000.0</v>
      </c>
      <c r="I35" s="26">
        <f t="shared" si="8"/>
        <v>42843.2</v>
      </c>
      <c r="J35" s="12"/>
      <c r="K35" s="12"/>
      <c r="L35" s="29" t="s">
        <v>143</v>
      </c>
      <c r="M35" s="28">
        <f t="shared" si="9"/>
        <v>0</v>
      </c>
      <c r="N35" s="12"/>
      <c r="O35" s="29"/>
      <c r="P35" s="26">
        <f t="shared" si="10"/>
        <v>42843.2</v>
      </c>
      <c r="Q35" s="15"/>
    </row>
    <row r="36" ht="22.5" customHeight="1">
      <c r="A36" s="26">
        <v>35.0</v>
      </c>
      <c r="B36" s="12" t="str">
        <f>Usuarios!B36 &amp; " " &amp; Usuarios!C36 &amp; " " &amp; Usuarios!D36
</f>
        <v>José  Paredes </v>
      </c>
      <c r="C36" s="27">
        <v>0.0</v>
      </c>
      <c r="D36" s="27">
        <v>0.0</v>
      </c>
      <c r="E36" s="26">
        <f t="shared" si="6"/>
        <v>0</v>
      </c>
      <c r="F36" s="26">
        <v>1182.6</v>
      </c>
      <c r="G36" s="26">
        <f t="shared" si="7"/>
        <v>0</v>
      </c>
      <c r="H36" s="26">
        <v>5000.0</v>
      </c>
      <c r="I36" s="26">
        <f t="shared" si="8"/>
        <v>5000</v>
      </c>
      <c r="J36" s="12"/>
      <c r="K36" s="12"/>
      <c r="L36" s="29" t="s">
        <v>143</v>
      </c>
      <c r="M36" s="28">
        <f t="shared" si="9"/>
        <v>0</v>
      </c>
      <c r="N36" s="12"/>
      <c r="O36" s="29"/>
      <c r="P36" s="26">
        <f t="shared" si="10"/>
        <v>5000</v>
      </c>
      <c r="Q36" s="15"/>
    </row>
    <row r="37" ht="22.5" customHeight="1">
      <c r="A37" s="26">
        <v>36.0</v>
      </c>
      <c r="B37" s="12" t="str">
        <f>Usuarios!B37 &amp; " " &amp; Usuarios!C37 &amp; " " &amp; Usuarios!D37
</f>
        <v>Danilo  Soto  Soto</v>
      </c>
      <c r="C37" s="27">
        <v>2.0</v>
      </c>
      <c r="D37" s="27">
        <v>2.0</v>
      </c>
      <c r="E37" s="26">
        <f t="shared" si="6"/>
        <v>0</v>
      </c>
      <c r="F37" s="26">
        <v>1182.6</v>
      </c>
      <c r="G37" s="26">
        <f t="shared" si="7"/>
        <v>0</v>
      </c>
      <c r="H37" s="26">
        <v>5000.0</v>
      </c>
      <c r="I37" s="26">
        <f t="shared" si="8"/>
        <v>5000</v>
      </c>
      <c r="J37" s="12"/>
      <c r="K37" s="12"/>
      <c r="L37" s="29" t="s">
        <v>143</v>
      </c>
      <c r="M37" s="28">
        <f t="shared" si="9"/>
        <v>0</v>
      </c>
      <c r="N37" s="12"/>
      <c r="O37" s="29"/>
      <c r="P37" s="26">
        <f t="shared" si="10"/>
        <v>5000</v>
      </c>
      <c r="Q37" s="15"/>
    </row>
    <row r="38" ht="22.5" customHeight="1">
      <c r="A38" s="26">
        <v>37.0</v>
      </c>
      <c r="B38" s="12" t="str">
        <f>Usuarios!B38 &amp; " " &amp; Usuarios!C38 &amp; " " &amp; Usuarios!D38
</f>
        <v>Patricio Alvarez Mancilla</v>
      </c>
      <c r="C38" s="27">
        <v>0.0</v>
      </c>
      <c r="D38" s="27">
        <v>0.0</v>
      </c>
      <c r="E38" s="26">
        <f t="shared" si="6"/>
        <v>0</v>
      </c>
      <c r="F38" s="26">
        <v>1182.6</v>
      </c>
      <c r="G38" s="26">
        <f t="shared" si="7"/>
        <v>0</v>
      </c>
      <c r="H38" s="26">
        <v>5000.0</v>
      </c>
      <c r="I38" s="26">
        <f t="shared" si="8"/>
        <v>5000</v>
      </c>
      <c r="J38" s="12"/>
      <c r="K38" s="12"/>
      <c r="L38" s="17" t="s">
        <v>146</v>
      </c>
      <c r="M38" s="28">
        <f t="shared" si="9"/>
        <v>5000</v>
      </c>
      <c r="N38" s="12"/>
      <c r="O38" s="29"/>
      <c r="P38" s="26">
        <f t="shared" si="10"/>
        <v>0</v>
      </c>
      <c r="Q38" s="15"/>
    </row>
    <row r="39" ht="22.5" customHeight="1">
      <c r="A39" s="26">
        <v>38.0</v>
      </c>
      <c r="B39" s="12" t="str">
        <f>Usuarios!B39 &amp; " " &amp; Usuarios!C39 &amp; " " &amp; Usuarios!D39
</f>
        <v>Norma  Sanchez </v>
      </c>
      <c r="C39" s="27">
        <v>0.0</v>
      </c>
      <c r="D39" s="27">
        <v>0.0</v>
      </c>
      <c r="E39" s="26">
        <f t="shared" si="6"/>
        <v>0</v>
      </c>
      <c r="F39" s="26">
        <v>1182.6</v>
      </c>
      <c r="G39" s="26">
        <f t="shared" si="7"/>
        <v>0</v>
      </c>
      <c r="H39" s="26">
        <v>5000.0</v>
      </c>
      <c r="I39" s="26">
        <f t="shared" si="8"/>
        <v>5000</v>
      </c>
      <c r="J39" s="12"/>
      <c r="K39" s="12"/>
      <c r="L39" s="17" t="s">
        <v>146</v>
      </c>
      <c r="M39" s="28">
        <f t="shared" si="9"/>
        <v>5000</v>
      </c>
      <c r="N39" s="12"/>
      <c r="O39" s="29"/>
      <c r="P39" s="26">
        <f t="shared" si="10"/>
        <v>0</v>
      </c>
      <c r="Q39" s="15"/>
    </row>
    <row r="40" ht="22.5" customHeight="1">
      <c r="A40" s="26">
        <v>39.0</v>
      </c>
      <c r="B40" s="12" t="str">
        <f>Usuarios!B40 &amp; " " &amp; Usuarios!C40 &amp; " " &amp; Usuarios!D40
</f>
        <v>Gloria  Alvarez </v>
      </c>
      <c r="C40" s="27">
        <v>103.0</v>
      </c>
      <c r="D40" s="27">
        <v>108.0</v>
      </c>
      <c r="E40" s="26">
        <f t="shared" si="6"/>
        <v>5</v>
      </c>
      <c r="F40" s="26">
        <v>1182.6</v>
      </c>
      <c r="G40" s="26">
        <f t="shared" si="7"/>
        <v>5913</v>
      </c>
      <c r="H40" s="26">
        <v>5000.0</v>
      </c>
      <c r="I40" s="26">
        <f t="shared" si="8"/>
        <v>10913</v>
      </c>
      <c r="J40" s="12"/>
      <c r="K40" s="12"/>
      <c r="L40" s="17" t="s">
        <v>146</v>
      </c>
      <c r="M40" s="28">
        <f t="shared" si="9"/>
        <v>10913</v>
      </c>
      <c r="N40" s="12"/>
      <c r="O40" s="29"/>
      <c r="P40" s="26">
        <f t="shared" si="10"/>
        <v>0</v>
      </c>
      <c r="Q40" s="15"/>
    </row>
    <row r="41" ht="22.5" customHeight="1">
      <c r="A41" s="26">
        <v>40.0</v>
      </c>
      <c r="B41" s="12" t="str">
        <f>Usuarios!B41 &amp; " " &amp; Usuarios!C41 &amp; " " &amp; Usuarios!D41
</f>
        <v>Gloria  Levil </v>
      </c>
      <c r="C41" s="27">
        <v>37.0</v>
      </c>
      <c r="D41" s="27">
        <v>81.0</v>
      </c>
      <c r="E41" s="26">
        <f t="shared" si="6"/>
        <v>44</v>
      </c>
      <c r="F41" s="26">
        <v>1182.6</v>
      </c>
      <c r="G41" s="26">
        <f t="shared" si="7"/>
        <v>52034.4</v>
      </c>
      <c r="H41" s="26">
        <v>5000.0</v>
      </c>
      <c r="I41" s="26">
        <f t="shared" si="8"/>
        <v>57034.4</v>
      </c>
      <c r="J41" s="12"/>
      <c r="K41" s="12"/>
      <c r="L41" s="29" t="s">
        <v>143</v>
      </c>
      <c r="M41" s="28">
        <f t="shared" si="9"/>
        <v>0</v>
      </c>
      <c r="N41" s="12"/>
      <c r="O41" s="29"/>
      <c r="P41" s="26">
        <f t="shared" si="10"/>
        <v>57034.4</v>
      </c>
      <c r="Q41" s="15"/>
    </row>
    <row r="42" ht="22.5" customHeight="1">
      <c r="A42" s="26">
        <v>41.0</v>
      </c>
      <c r="B42" s="12" t="str">
        <f>Usuarios!B42 &amp; " " &amp; Usuarios!C42 &amp; " " &amp; Usuarios!D42
</f>
        <v>Astrid  Gomez </v>
      </c>
      <c r="C42" s="27">
        <v>79.0</v>
      </c>
      <c r="D42" s="27">
        <v>86.0</v>
      </c>
      <c r="E42" s="26">
        <f t="shared" si="6"/>
        <v>7</v>
      </c>
      <c r="F42" s="26">
        <v>1182.6</v>
      </c>
      <c r="G42" s="26">
        <f t="shared" si="7"/>
        <v>8278.2</v>
      </c>
      <c r="H42" s="26">
        <v>5000.0</v>
      </c>
      <c r="I42" s="26">
        <f t="shared" si="8"/>
        <v>13278.2</v>
      </c>
      <c r="J42" s="12"/>
      <c r="K42" s="12"/>
      <c r="L42" s="29" t="s">
        <v>143</v>
      </c>
      <c r="M42" s="28">
        <f t="shared" si="9"/>
        <v>0</v>
      </c>
      <c r="N42" s="12"/>
      <c r="O42" s="29"/>
      <c r="P42" s="26">
        <f t="shared" si="10"/>
        <v>13278.2</v>
      </c>
      <c r="Q42" s="15"/>
    </row>
    <row r="43" ht="22.5" customHeight="1">
      <c r="A43" s="26">
        <v>42.0</v>
      </c>
      <c r="B43" s="12" t="str">
        <f>Usuarios!B43 &amp; " " &amp; Usuarios!C43 &amp; " " &amp; Usuarios!D43
</f>
        <v>Leo  Soto </v>
      </c>
      <c r="C43" s="27">
        <v>0.0</v>
      </c>
      <c r="D43" s="27">
        <v>0.0</v>
      </c>
      <c r="E43" s="26">
        <f t="shared" si="6"/>
        <v>0</v>
      </c>
      <c r="F43" s="26">
        <v>1182.6</v>
      </c>
      <c r="G43" s="26">
        <f t="shared" si="7"/>
        <v>0</v>
      </c>
      <c r="H43" s="26">
        <v>5000.0</v>
      </c>
      <c r="I43" s="26">
        <f t="shared" si="8"/>
        <v>5000</v>
      </c>
      <c r="J43" s="12"/>
      <c r="K43" s="12"/>
      <c r="L43" s="29" t="s">
        <v>143</v>
      </c>
      <c r="M43" s="28">
        <f t="shared" si="9"/>
        <v>0</v>
      </c>
      <c r="N43" s="12"/>
      <c r="O43" s="29"/>
      <c r="P43" s="26">
        <f t="shared" si="10"/>
        <v>5000</v>
      </c>
      <c r="Q43" s="15"/>
    </row>
    <row r="44" ht="22.5" customHeight="1">
      <c r="A44" s="26">
        <v>43.0</v>
      </c>
      <c r="B44" s="12" t="str">
        <f>Usuarios!B44 &amp; " " &amp; Usuarios!C44 &amp; " " &amp; Usuarios!D44
</f>
        <v>Ramon  Maldonado </v>
      </c>
      <c r="C44" s="27">
        <v>0.0</v>
      </c>
      <c r="D44" s="27">
        <v>0.0</v>
      </c>
      <c r="E44" s="26">
        <f t="shared" si="6"/>
        <v>0</v>
      </c>
      <c r="F44" s="26">
        <v>1182.6</v>
      </c>
      <c r="G44" s="26">
        <f t="shared" si="7"/>
        <v>0</v>
      </c>
      <c r="H44" s="26">
        <v>5000.0</v>
      </c>
      <c r="I44" s="26">
        <f t="shared" si="8"/>
        <v>5000</v>
      </c>
      <c r="J44" s="12"/>
      <c r="K44" s="12"/>
      <c r="L44" s="17" t="s">
        <v>143</v>
      </c>
      <c r="M44" s="28">
        <f t="shared" si="9"/>
        <v>0</v>
      </c>
      <c r="N44" s="12"/>
      <c r="O44" s="29" t="s">
        <v>147</v>
      </c>
      <c r="P44" s="26">
        <f t="shared" si="10"/>
        <v>5000</v>
      </c>
      <c r="Q44" s="15"/>
    </row>
    <row r="45" ht="22.5" customHeight="1">
      <c r="A45" s="26">
        <v>44.0</v>
      </c>
      <c r="B45" s="12" t="str">
        <f>Usuarios!B45 &amp; " " &amp; Usuarios!C45 &amp; " " &amp; Usuarios!D45
</f>
        <v>María Sonia  Quintui </v>
      </c>
      <c r="C45" s="27">
        <v>0.0</v>
      </c>
      <c r="D45" s="27">
        <v>0.0</v>
      </c>
      <c r="E45" s="26">
        <f t="shared" si="6"/>
        <v>0</v>
      </c>
      <c r="F45" s="26">
        <v>1182.6</v>
      </c>
      <c r="G45" s="26">
        <f t="shared" si="7"/>
        <v>0</v>
      </c>
      <c r="H45" s="26">
        <v>5000.0</v>
      </c>
      <c r="I45" s="26">
        <f t="shared" si="8"/>
        <v>5000</v>
      </c>
      <c r="J45" s="12"/>
      <c r="K45" s="12"/>
      <c r="L45" s="17" t="s">
        <v>146</v>
      </c>
      <c r="M45" s="28">
        <f t="shared" si="9"/>
        <v>5000</v>
      </c>
      <c r="N45" s="12"/>
      <c r="O45" s="29"/>
      <c r="P45" s="26">
        <f t="shared" si="10"/>
        <v>0</v>
      </c>
      <c r="Q45" s="15"/>
    </row>
    <row r="46" ht="22.5" customHeight="1">
      <c r="A46" s="26">
        <v>45.0</v>
      </c>
      <c r="B46" s="12" t="str">
        <f>Usuarios!B46 &amp; " " &amp; Usuarios!C46 &amp; " " &amp; Usuarios!D46
</f>
        <v>Monica  Cuello </v>
      </c>
      <c r="C46" s="27">
        <v>0.0</v>
      </c>
      <c r="D46" s="27">
        <v>0.0</v>
      </c>
      <c r="E46" s="26">
        <f t="shared" si="6"/>
        <v>0</v>
      </c>
      <c r="F46" s="26">
        <v>1182.6</v>
      </c>
      <c r="G46" s="26">
        <f t="shared" si="7"/>
        <v>0</v>
      </c>
      <c r="H46" s="26">
        <v>5000.0</v>
      </c>
      <c r="I46" s="26">
        <f t="shared" si="8"/>
        <v>5000</v>
      </c>
      <c r="J46" s="12"/>
      <c r="K46" s="12"/>
      <c r="L46" s="17" t="s">
        <v>146</v>
      </c>
      <c r="M46" s="28">
        <f t="shared" si="9"/>
        <v>5000</v>
      </c>
      <c r="N46" s="12"/>
      <c r="O46" s="29"/>
      <c r="P46" s="26">
        <f t="shared" si="10"/>
        <v>0</v>
      </c>
      <c r="Q46" s="15"/>
    </row>
    <row r="47" ht="22.5" customHeight="1">
      <c r="A47" s="26">
        <v>46.0</v>
      </c>
      <c r="B47" s="12" t="str">
        <f>Usuarios!B47 &amp; " " &amp; Usuarios!C47 &amp; " " &amp; Usuarios!D47
</f>
        <v>Mauricio  Muñoz taller </v>
      </c>
      <c r="C47" s="27">
        <v>0.0</v>
      </c>
      <c r="D47" s="27">
        <v>0.0</v>
      </c>
      <c r="E47" s="26">
        <f t="shared" si="6"/>
        <v>0</v>
      </c>
      <c r="F47" s="26">
        <v>1182.6</v>
      </c>
      <c r="G47" s="26">
        <f t="shared" si="7"/>
        <v>0</v>
      </c>
      <c r="H47" s="26">
        <v>5000.0</v>
      </c>
      <c r="I47" s="26">
        <f t="shared" si="8"/>
        <v>5000</v>
      </c>
      <c r="J47" s="12"/>
      <c r="K47" s="12"/>
      <c r="L47" s="29" t="s">
        <v>143</v>
      </c>
      <c r="M47" s="28">
        <f t="shared" si="9"/>
        <v>0</v>
      </c>
      <c r="N47" s="12"/>
      <c r="O47" s="29"/>
      <c r="P47" s="26">
        <f t="shared" si="10"/>
        <v>5000</v>
      </c>
      <c r="Q47" s="15"/>
    </row>
    <row r="48" ht="22.5" customHeight="1">
      <c r="A48" s="26">
        <v>47.0</v>
      </c>
      <c r="B48" s="12" t="str">
        <f>Usuarios!B48 &amp; " " &amp; Usuarios!C48 &amp; " " &amp; Usuarios!D48
</f>
        <v>Pablo  Contreras </v>
      </c>
      <c r="C48" s="27">
        <v>0.0</v>
      </c>
      <c r="D48" s="27">
        <v>0.0</v>
      </c>
      <c r="E48" s="26">
        <f t="shared" si="6"/>
        <v>0</v>
      </c>
      <c r="F48" s="26">
        <v>1182.6</v>
      </c>
      <c r="G48" s="26">
        <f t="shared" si="7"/>
        <v>0</v>
      </c>
      <c r="H48" s="26">
        <v>5000.0</v>
      </c>
      <c r="I48" s="26">
        <f t="shared" si="8"/>
        <v>5000</v>
      </c>
      <c r="J48" s="12"/>
      <c r="K48" s="12"/>
      <c r="L48" s="17" t="s">
        <v>146</v>
      </c>
      <c r="M48" s="28">
        <f t="shared" si="9"/>
        <v>5000</v>
      </c>
      <c r="N48" s="12"/>
      <c r="O48" s="29"/>
      <c r="P48" s="26">
        <f t="shared" si="10"/>
        <v>0</v>
      </c>
      <c r="Q48" s="15"/>
    </row>
    <row r="49" ht="22.5" customHeight="1">
      <c r="A49" s="26">
        <v>48.0</v>
      </c>
      <c r="B49" s="12" t="str">
        <f>Usuarios!B49 &amp; " " &amp; Usuarios!C49 &amp; " " &amp; Usuarios!D49
</f>
        <v>Luis Vicente   Mondaca  Muñoz</v>
      </c>
      <c r="C49" s="27">
        <v>196.0</v>
      </c>
      <c r="D49" s="27">
        <v>226.0</v>
      </c>
      <c r="E49" s="26">
        <f t="shared" si="6"/>
        <v>30</v>
      </c>
      <c r="F49" s="26">
        <v>1182.6</v>
      </c>
      <c r="G49" s="26">
        <f t="shared" si="7"/>
        <v>35478</v>
      </c>
      <c r="H49" s="26">
        <v>5000.0</v>
      </c>
      <c r="I49" s="26">
        <f t="shared" si="8"/>
        <v>40478</v>
      </c>
      <c r="J49" s="12"/>
      <c r="K49" s="12"/>
      <c r="L49" s="17" t="s">
        <v>146</v>
      </c>
      <c r="M49" s="28">
        <f t="shared" si="9"/>
        <v>40478</v>
      </c>
      <c r="N49" s="12"/>
      <c r="O49" s="29"/>
      <c r="P49" s="26">
        <f t="shared" si="10"/>
        <v>0</v>
      </c>
      <c r="Q49" s="15"/>
    </row>
    <row r="50" ht="22.5" customHeight="1">
      <c r="A50" s="26">
        <v>49.0</v>
      </c>
      <c r="B50" s="12" t="str">
        <f>Usuarios!B50 &amp; " " &amp; Usuarios!C50 &amp; " " &amp; Usuarios!D50
</f>
        <v>Rosa  Nuñez </v>
      </c>
      <c r="C50" s="27">
        <v>65.0</v>
      </c>
      <c r="D50" s="27">
        <v>70.0</v>
      </c>
      <c r="E50" s="26">
        <f t="shared" si="6"/>
        <v>5</v>
      </c>
      <c r="F50" s="26">
        <v>1182.6</v>
      </c>
      <c r="G50" s="26">
        <f t="shared" si="7"/>
        <v>5913</v>
      </c>
      <c r="H50" s="26">
        <v>5000.0</v>
      </c>
      <c r="I50" s="26">
        <f t="shared" si="8"/>
        <v>10913</v>
      </c>
      <c r="J50" s="12"/>
      <c r="K50" s="12"/>
      <c r="L50" s="17" t="s">
        <v>146</v>
      </c>
      <c r="M50" s="28">
        <f t="shared" si="9"/>
        <v>10913</v>
      </c>
      <c r="N50" s="12"/>
      <c r="O50" s="29"/>
      <c r="P50" s="26">
        <f t="shared" si="10"/>
        <v>0</v>
      </c>
      <c r="Q50" s="15"/>
    </row>
    <row r="51" ht="22.5" customHeight="1">
      <c r="A51" s="26">
        <v>50.0</v>
      </c>
      <c r="B51" s="12" t="str">
        <f>Usuarios!B51 &amp; " " &amp; Usuarios!C51 &amp; " " &amp; Usuarios!D51
</f>
        <v>Gloria Isamar  Velasquez  Almonacid</v>
      </c>
      <c r="C51" s="27">
        <v>11.0</v>
      </c>
      <c r="D51" s="27">
        <v>18.0</v>
      </c>
      <c r="E51" s="26">
        <f t="shared" si="6"/>
        <v>7</v>
      </c>
      <c r="F51" s="26">
        <v>1182.6</v>
      </c>
      <c r="G51" s="26">
        <f t="shared" si="7"/>
        <v>8278.2</v>
      </c>
      <c r="H51" s="26">
        <v>5000.0</v>
      </c>
      <c r="I51" s="26">
        <f t="shared" si="8"/>
        <v>13278.2</v>
      </c>
      <c r="J51" s="12"/>
      <c r="K51" s="12"/>
      <c r="L51" s="17" t="s">
        <v>146</v>
      </c>
      <c r="M51" s="28">
        <f t="shared" si="9"/>
        <v>13278.2</v>
      </c>
      <c r="N51" s="12"/>
      <c r="O51" s="29"/>
      <c r="P51" s="26">
        <f t="shared" si="10"/>
        <v>0</v>
      </c>
      <c r="Q51" s="15"/>
    </row>
    <row r="52" ht="22.5" customHeight="1">
      <c r="A52" s="26">
        <v>51.0</v>
      </c>
      <c r="B52" s="12" t="str">
        <f>Usuarios!B52 &amp; " " &amp; Usuarios!C52 &amp; " " &amp; Usuarios!D52
</f>
        <v>Maria  Manquian </v>
      </c>
      <c r="C52" s="27">
        <v>0.0</v>
      </c>
      <c r="D52" s="27">
        <v>0.0</v>
      </c>
      <c r="E52" s="26">
        <f t="shared" si="6"/>
        <v>0</v>
      </c>
      <c r="F52" s="26">
        <v>1182.6</v>
      </c>
      <c r="G52" s="26">
        <f t="shared" si="7"/>
        <v>0</v>
      </c>
      <c r="H52" s="26">
        <v>5000.0</v>
      </c>
      <c r="I52" s="26">
        <f t="shared" si="8"/>
        <v>5000</v>
      </c>
      <c r="J52" s="12"/>
      <c r="K52" s="12"/>
      <c r="L52" s="17" t="s">
        <v>146</v>
      </c>
      <c r="M52" s="28">
        <f t="shared" si="9"/>
        <v>5000</v>
      </c>
      <c r="N52" s="12"/>
      <c r="O52" s="29" t="s">
        <v>147</v>
      </c>
      <c r="P52" s="26">
        <f t="shared" si="10"/>
        <v>0</v>
      </c>
      <c r="Q52" s="15"/>
    </row>
    <row r="53" ht="22.5" customHeight="1">
      <c r="A53" s="26">
        <v>52.0</v>
      </c>
      <c r="B53" s="12" t="str">
        <f>Usuarios!B53 &amp; " " &amp; Usuarios!C53 &amp; " " &amp; Usuarios!D53
</f>
        <v>Esteban  Oyarzo  Levil</v>
      </c>
      <c r="C53" s="27">
        <v>0.0</v>
      </c>
      <c r="D53" s="27">
        <v>0.0</v>
      </c>
      <c r="E53" s="26">
        <f t="shared" si="6"/>
        <v>0</v>
      </c>
      <c r="F53" s="26">
        <v>1182.6</v>
      </c>
      <c r="G53" s="26">
        <f t="shared" si="7"/>
        <v>0</v>
      </c>
      <c r="H53" s="26">
        <v>5000.0</v>
      </c>
      <c r="I53" s="26">
        <f t="shared" si="8"/>
        <v>5000</v>
      </c>
      <c r="J53" s="12"/>
      <c r="K53" s="12"/>
      <c r="L53" s="17" t="s">
        <v>146</v>
      </c>
      <c r="M53" s="28">
        <f t="shared" si="9"/>
        <v>5000</v>
      </c>
      <c r="N53" s="12"/>
      <c r="O53" s="29"/>
      <c r="P53" s="26">
        <f t="shared" si="10"/>
        <v>0</v>
      </c>
      <c r="Q53" s="15"/>
    </row>
    <row r="54" ht="22.5" customHeight="1">
      <c r="A54" s="26">
        <v>53.0</v>
      </c>
      <c r="B54" s="12" t="str">
        <f>Usuarios!B54 &amp; " " &amp; Usuarios!C54 &amp; " " &amp; Usuarios!D54
</f>
        <v>Nicolas Andres  Cardenas Bustamante</v>
      </c>
      <c r="C54" s="27">
        <v>0.0</v>
      </c>
      <c r="D54" s="27">
        <v>0.0</v>
      </c>
      <c r="E54" s="26">
        <f t="shared" si="6"/>
        <v>0</v>
      </c>
      <c r="F54" s="26">
        <v>1182.6</v>
      </c>
      <c r="G54" s="26">
        <f t="shared" si="7"/>
        <v>0</v>
      </c>
      <c r="H54" s="26">
        <v>5000.0</v>
      </c>
      <c r="I54" s="26">
        <f t="shared" si="8"/>
        <v>5000</v>
      </c>
      <c r="J54" s="12"/>
      <c r="K54" s="12"/>
      <c r="L54" s="17" t="s">
        <v>146</v>
      </c>
      <c r="M54" s="28">
        <f t="shared" si="9"/>
        <v>5000</v>
      </c>
      <c r="N54" s="12"/>
      <c r="O54" s="29"/>
      <c r="P54" s="26">
        <f t="shared" si="10"/>
        <v>0</v>
      </c>
      <c r="Q54" s="15"/>
    </row>
    <row r="55" ht="22.5" customHeight="1">
      <c r="A55" s="26">
        <v>54.0</v>
      </c>
      <c r="B55" s="12" t="str">
        <f>Usuarios!B55 &amp; " " &amp; Usuarios!C55 &amp; " " &amp; Usuarios!D55
</f>
        <v>Rosa  Mancilla </v>
      </c>
      <c r="C55" s="27">
        <v>0.0</v>
      </c>
      <c r="D55" s="27">
        <v>106.0</v>
      </c>
      <c r="E55" s="26">
        <f t="shared" si="6"/>
        <v>106</v>
      </c>
      <c r="F55" s="26">
        <v>1182.6</v>
      </c>
      <c r="G55" s="26">
        <f t="shared" si="7"/>
        <v>125355.6</v>
      </c>
      <c r="H55" s="26">
        <v>5000.0</v>
      </c>
      <c r="I55" s="26">
        <f t="shared" si="8"/>
        <v>130355.6</v>
      </c>
      <c r="J55" s="12"/>
      <c r="K55" s="12"/>
      <c r="L55" s="17" t="s">
        <v>146</v>
      </c>
      <c r="M55" s="28">
        <f t="shared" si="9"/>
        <v>130355.6</v>
      </c>
      <c r="N55" s="12"/>
      <c r="O55" s="29"/>
      <c r="P55" s="26">
        <f t="shared" si="10"/>
        <v>0</v>
      </c>
      <c r="Q55" s="15"/>
    </row>
    <row r="56" ht="22.5" customHeight="1">
      <c r="A56" s="26">
        <v>55.0</v>
      </c>
      <c r="B56" s="12" t="str">
        <f>Usuarios!B56 &amp; " " &amp; Usuarios!C56 &amp; " " &amp; Usuarios!D56
</f>
        <v>Guido  Quintuy - Sitio vacío </v>
      </c>
      <c r="C56" s="27">
        <v>0.0</v>
      </c>
      <c r="D56" s="27">
        <v>0.0</v>
      </c>
      <c r="E56" s="26">
        <f t="shared" si="6"/>
        <v>0</v>
      </c>
      <c r="F56" s="26">
        <v>1182.6</v>
      </c>
      <c r="G56" s="26">
        <f t="shared" si="7"/>
        <v>0</v>
      </c>
      <c r="H56" s="26">
        <v>5000.0</v>
      </c>
      <c r="I56" s="26">
        <f t="shared" si="8"/>
        <v>5000</v>
      </c>
      <c r="J56" s="12"/>
      <c r="K56" s="12"/>
      <c r="L56" s="17" t="s">
        <v>146</v>
      </c>
      <c r="M56" s="28">
        <f t="shared" si="9"/>
        <v>5000</v>
      </c>
      <c r="N56" s="12"/>
      <c r="O56" s="29"/>
      <c r="P56" s="26">
        <f t="shared" si="10"/>
        <v>0</v>
      </c>
      <c r="Q56" s="15"/>
    </row>
    <row r="57" ht="22.5" customHeight="1">
      <c r="A57" s="26">
        <v>56.0</v>
      </c>
      <c r="B57" s="12" t="str">
        <f>Usuarios!B57 &amp; " " &amp; Usuarios!C57 &amp; " " &amp; Usuarios!D57
</f>
        <v>Mario  Velasquez </v>
      </c>
      <c r="C57" s="28">
        <v>0.0</v>
      </c>
      <c r="D57" s="28">
        <v>5.0</v>
      </c>
      <c r="E57" s="26">
        <f t="shared" si="6"/>
        <v>5</v>
      </c>
      <c r="F57" s="26">
        <v>1182.6</v>
      </c>
      <c r="G57" s="26">
        <f t="shared" si="7"/>
        <v>5913</v>
      </c>
      <c r="H57" s="26">
        <v>5000.0</v>
      </c>
      <c r="I57" s="26">
        <f t="shared" si="8"/>
        <v>10913</v>
      </c>
      <c r="J57" s="12"/>
      <c r="K57" s="12"/>
      <c r="L57" s="17" t="s">
        <v>146</v>
      </c>
      <c r="M57" s="28">
        <f t="shared" si="9"/>
        <v>10913</v>
      </c>
      <c r="N57" s="12"/>
      <c r="O57" s="29"/>
      <c r="P57" s="26">
        <f t="shared" si="10"/>
        <v>0</v>
      </c>
      <c r="Q57" s="15"/>
    </row>
    <row r="58" ht="22.5" customHeight="1">
      <c r="A58" s="26">
        <v>57.0</v>
      </c>
      <c r="B58" s="12" t="str">
        <f>Usuarios!B58 &amp; " " &amp; Usuarios!C58 &amp; " " &amp; Usuarios!D58
</f>
        <v>Lishby  Fuentes  Diaz</v>
      </c>
      <c r="C58" s="28">
        <v>0.0</v>
      </c>
      <c r="D58" s="28">
        <v>0.0</v>
      </c>
      <c r="E58" s="26">
        <f t="shared" si="6"/>
        <v>0</v>
      </c>
      <c r="F58" s="26">
        <v>1182.6</v>
      </c>
      <c r="G58" s="26">
        <f t="shared" si="7"/>
        <v>0</v>
      </c>
      <c r="H58" s="26">
        <v>5000.0</v>
      </c>
      <c r="I58" s="26">
        <f t="shared" si="8"/>
        <v>5000</v>
      </c>
      <c r="J58" s="12"/>
      <c r="K58" s="12"/>
      <c r="L58" s="17" t="s">
        <v>144</v>
      </c>
      <c r="M58" s="28">
        <f t="shared" si="9"/>
        <v>0</v>
      </c>
      <c r="N58" s="12"/>
      <c r="O58" s="29"/>
      <c r="P58" s="26">
        <f t="shared" si="10"/>
        <v>0</v>
      </c>
      <c r="Q58" s="15"/>
    </row>
  </sheetData>
  <conditionalFormatting sqref="Q2:Q21 Q23:Q58">
    <cfRule type="containsText" dxfId="8" priority="1" operator="containsText" text="NO APLICA">
      <formula>NOT(ISERROR(SEARCH(("NO APLICA"),(Q2))))</formula>
    </cfRule>
  </conditionalFormatting>
  <conditionalFormatting sqref="Q2:Q21 Q23:Q58">
    <cfRule type="containsText" dxfId="8" priority="2" operator="containsText" text="NO APLICA">
      <formula>NOT(ISERROR(SEARCH(("NO APLICA"),(Q2))))</formula>
    </cfRule>
  </conditionalFormatting>
  <conditionalFormatting sqref="L2:L21 L23:L58">
    <cfRule type="containsText" dxfId="6" priority="3" operator="containsText" text="PENDIENTE">
      <formula>NOT(ISERROR(SEARCH(("PENDIENTE"),(L2))))</formula>
    </cfRule>
  </conditionalFormatting>
  <conditionalFormatting sqref="L2:L21 L23:L58">
    <cfRule type="containsText" dxfId="7" priority="4" operator="containsText" text="PAGADO">
      <formula>NOT(ISERROR(SEARCH(("PAGADO"),(L2))))</formula>
    </cfRule>
  </conditionalFormatting>
  <dataValidations>
    <dataValidation type="list" allowBlank="1" sqref="O2:O58">
      <formula1>"EFECTIVO,TRANSFERENCIA,CHEQUE,TARJETA"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3.29"/>
    <col customWidth="1" min="3" max="3" width="21.0"/>
    <col customWidth="1" min="4" max="4" width="19.29"/>
    <col customWidth="1" min="5" max="5" width="18.29"/>
    <col customWidth="1" min="6" max="6" width="18.57"/>
    <col customWidth="1" min="7" max="7" width="26.57"/>
    <col customWidth="1" min="8" max="8" width="19.14"/>
    <col customWidth="1" min="9" max="9" width="21.71"/>
    <col customWidth="1" min="10" max="10" width="18.71"/>
    <col customWidth="1" min="11" max="11" width="23.29"/>
    <col customWidth="1" min="12" max="12" width="21.14"/>
    <col customWidth="1" min="13" max="13" width="19.57"/>
    <col customWidth="1" min="14" max="14" width="16.57"/>
    <col customWidth="1" min="15" max="15" width="20.86"/>
    <col customWidth="1" min="16" max="16" width="24.57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26">
        <v>41.0</v>
      </c>
      <c r="B2" s="12" t="str">
        <f>Usuarios!B42 &amp; " " &amp; Usuarios!C42 &amp; " " &amp; Usuarios!D42
</f>
        <v>Astrid  Gomez </v>
      </c>
      <c r="C2" s="26">
        <f t="array" ref="C2">INDEX(INDIRECT("'" &amp; TEXT(EDATE(J2,-2),"mm-yyyy") &amp; "'!D:D"),
   MATCH(A2,INDIRECT("'" &amp; TEXT(EDATE(J2,-2),"mm-yyyy") &amp; "'!A:A"),0))
</f>
        <v>86</v>
      </c>
      <c r="D2" s="27">
        <v>91.0</v>
      </c>
      <c r="E2" s="26">
        <f t="shared" ref="E2:E57" si="1">D2-C2</f>
        <v>5</v>
      </c>
      <c r="F2" s="14">
        <v>1182.6</v>
      </c>
      <c r="G2" s="15">
        <f t="shared" ref="G2:G57" si="2">E2*F2</f>
        <v>5913</v>
      </c>
      <c r="H2" s="15">
        <v>5000.0</v>
      </c>
      <c r="I2" s="15">
        <f t="shared" ref="I2:I57" si="3">E2*F2+H2</f>
        <v>10913</v>
      </c>
      <c r="J2" s="16">
        <v>45724.0</v>
      </c>
      <c r="K2" s="12"/>
      <c r="L2" s="32" t="s">
        <v>143</v>
      </c>
      <c r="M2" s="26">
        <f t="shared" ref="M2:M57" si="4">IF(L2="Pagado", I2, 0)</f>
        <v>0</v>
      </c>
      <c r="N2" s="12"/>
      <c r="O2" s="29"/>
      <c r="P2" s="15">
        <f t="shared" ref="P2:P57" si="5">IF(L2="NO APLICA",0, (I2-M2))</f>
        <v>10913</v>
      </c>
      <c r="Q2" s="15"/>
    </row>
    <row r="3" ht="22.5" customHeight="1">
      <c r="A3" s="26">
        <v>16.0</v>
      </c>
      <c r="B3" s="12" t="str">
        <f>Usuarios!B17 &amp; " " &amp; Usuarios!C17 &amp; " " &amp; Usuarios!D17
</f>
        <v>Carlos  Agüero </v>
      </c>
      <c r="C3" s="26">
        <f t="array" ref="C3">INDEX('01-2025'!D:D,MATCH(INDEX(A:A, ROW()), '01-2025'!A:A, 0))</f>
        <v>150</v>
      </c>
      <c r="D3" s="27">
        <v>161.0</v>
      </c>
      <c r="E3" s="26">
        <f t="shared" si="1"/>
        <v>11</v>
      </c>
      <c r="F3" s="14">
        <v>1182.6</v>
      </c>
      <c r="G3" s="15">
        <f t="shared" si="2"/>
        <v>13008.6</v>
      </c>
      <c r="H3" s="15">
        <v>5000.0</v>
      </c>
      <c r="I3" s="15">
        <f t="shared" si="3"/>
        <v>18008.6</v>
      </c>
      <c r="J3" s="16">
        <v>45724.0</v>
      </c>
      <c r="K3" s="12"/>
      <c r="L3" s="17" t="s">
        <v>146</v>
      </c>
      <c r="M3" s="33">
        <f t="shared" si="4"/>
        <v>18008.6</v>
      </c>
      <c r="N3" s="12"/>
      <c r="O3" s="29"/>
      <c r="P3" s="15">
        <f t="shared" si="5"/>
        <v>0</v>
      </c>
      <c r="Q3" s="15"/>
    </row>
    <row r="4" ht="22.5" customHeight="1">
      <c r="A4" s="26">
        <v>13.0</v>
      </c>
      <c r="B4" s="12" t="str">
        <f>Usuarios!B14 &amp; " " &amp; Usuarios!C14 &amp; " " &amp; Usuarios!D14
</f>
        <v>Carlos  Gamin </v>
      </c>
      <c r="C4" s="26">
        <f t="array" ref="C4">INDEX('01-2025'!D:D,MATCH(INDEX(A:A, ROW()), '01-2025'!A:A, 0))</f>
        <v>158</v>
      </c>
      <c r="D4" s="27">
        <v>171.0</v>
      </c>
      <c r="E4" s="26">
        <f t="shared" si="1"/>
        <v>13</v>
      </c>
      <c r="F4" s="14">
        <v>1182.6</v>
      </c>
      <c r="G4" s="15">
        <f t="shared" si="2"/>
        <v>15373.8</v>
      </c>
      <c r="H4" s="15">
        <v>5000.0</v>
      </c>
      <c r="I4" s="15">
        <f t="shared" si="3"/>
        <v>20373.8</v>
      </c>
      <c r="J4" s="16">
        <v>45724.0</v>
      </c>
      <c r="K4" s="12"/>
      <c r="L4" s="32" t="s">
        <v>143</v>
      </c>
      <c r="M4" s="26">
        <f t="shared" si="4"/>
        <v>0</v>
      </c>
      <c r="N4" s="12"/>
      <c r="O4" s="29"/>
      <c r="P4" s="15">
        <f t="shared" si="5"/>
        <v>20373.8</v>
      </c>
      <c r="Q4" s="15"/>
    </row>
    <row r="5" ht="22.5" customHeight="1">
      <c r="A5" s="26">
        <v>23.0</v>
      </c>
      <c r="B5" s="12" t="str">
        <f>Usuarios!B24 &amp; " " &amp; Usuarios!C24 &amp; " " &amp; Usuarios!D24
</f>
        <v>Carlos  Nahuelpan </v>
      </c>
      <c r="C5" s="26">
        <f t="array" ref="C5">INDEX('01-2025'!D:D,MATCH(INDEX(A:A, ROW()), '01-2025'!A:A, 0))</f>
        <v>92</v>
      </c>
      <c r="D5" s="27">
        <v>100.0</v>
      </c>
      <c r="E5" s="26">
        <f t="shared" si="1"/>
        <v>8</v>
      </c>
      <c r="F5" s="14">
        <v>1182.6</v>
      </c>
      <c r="G5" s="15">
        <f t="shared" si="2"/>
        <v>9460.8</v>
      </c>
      <c r="H5" s="15">
        <v>5000.0</v>
      </c>
      <c r="I5" s="15">
        <f t="shared" si="3"/>
        <v>14460.8</v>
      </c>
      <c r="J5" s="16">
        <v>45724.0</v>
      </c>
      <c r="K5" s="12"/>
      <c r="L5" s="17" t="s">
        <v>146</v>
      </c>
      <c r="M5" s="33">
        <f t="shared" si="4"/>
        <v>14460.8</v>
      </c>
      <c r="N5" s="12"/>
      <c r="O5" s="29"/>
      <c r="P5" s="15">
        <f t="shared" si="5"/>
        <v>0</v>
      </c>
      <c r="Q5" s="15"/>
    </row>
    <row r="6" ht="22.5" customHeight="1">
      <c r="A6" s="26">
        <v>4.0</v>
      </c>
      <c r="B6" s="12" t="str">
        <f>Usuarios!B5 &amp; " " &amp; Usuarios!C5 &amp; " " &amp; Usuarios!D5
</f>
        <v>Cristian  Oyarzo </v>
      </c>
      <c r="C6" s="26">
        <f t="array" ref="C6">INDEX('01-2025'!D:D,MATCH(INDEX(A:A, ROW()), '01-2025'!A:A, 0))</f>
        <v>420</v>
      </c>
      <c r="D6" s="27">
        <v>455.0</v>
      </c>
      <c r="E6" s="26">
        <f t="shared" si="1"/>
        <v>35</v>
      </c>
      <c r="F6" s="14">
        <v>1182.6</v>
      </c>
      <c r="G6" s="15">
        <f t="shared" si="2"/>
        <v>41391</v>
      </c>
      <c r="H6" s="15">
        <v>5000.0</v>
      </c>
      <c r="I6" s="15">
        <f t="shared" si="3"/>
        <v>46391</v>
      </c>
      <c r="J6" s="16">
        <v>45724.0</v>
      </c>
      <c r="K6" s="12"/>
      <c r="L6" s="17" t="s">
        <v>146</v>
      </c>
      <c r="M6" s="33">
        <f t="shared" si="4"/>
        <v>46391</v>
      </c>
      <c r="N6" s="12"/>
      <c r="O6" s="29"/>
      <c r="P6" s="15">
        <f t="shared" si="5"/>
        <v>0</v>
      </c>
      <c r="Q6" s="15"/>
    </row>
    <row r="7" ht="22.5" customHeight="1">
      <c r="A7" s="26">
        <v>36.0</v>
      </c>
      <c r="B7" s="12" t="str">
        <f>Usuarios!B37 &amp; " " &amp; Usuarios!C37 &amp; " " &amp; Usuarios!D37
</f>
        <v>Danilo  Soto  Soto</v>
      </c>
      <c r="C7" s="26">
        <f t="array" ref="C7">INDEX('01-2025'!D:D,MATCH(INDEX(A:A, ROW()), '01-2025'!A:A, 0))</f>
        <v>2</v>
      </c>
      <c r="D7" s="27">
        <v>2.0</v>
      </c>
      <c r="E7" s="26">
        <f t="shared" si="1"/>
        <v>0</v>
      </c>
      <c r="F7" s="14">
        <v>1182.6</v>
      </c>
      <c r="G7" s="15">
        <f t="shared" si="2"/>
        <v>0</v>
      </c>
      <c r="H7" s="15">
        <v>5000.0</v>
      </c>
      <c r="I7" s="15">
        <f t="shared" si="3"/>
        <v>5000</v>
      </c>
      <c r="J7" s="16">
        <v>45724.0</v>
      </c>
      <c r="K7" s="12"/>
      <c r="L7" s="32" t="s">
        <v>143</v>
      </c>
      <c r="M7" s="26">
        <f t="shared" si="4"/>
        <v>0</v>
      </c>
      <c r="N7" s="12"/>
      <c r="O7" s="29"/>
      <c r="P7" s="15">
        <f t="shared" si="5"/>
        <v>5000</v>
      </c>
      <c r="Q7" s="15"/>
    </row>
    <row r="8" ht="22.5" customHeight="1">
      <c r="A8" s="26">
        <v>10.0</v>
      </c>
      <c r="B8" s="12" t="str">
        <f>Usuarios!B11 &amp; " " &amp; Usuarios!C11 &amp; " " &amp; Usuarios!D11
</f>
        <v>David  Cartes </v>
      </c>
      <c r="C8" s="26">
        <f t="array" ref="C8">INDEX('01-2025'!D:D,MATCH(INDEX(A:A, ROW()), '01-2025'!A:A, 0))</f>
        <v>97</v>
      </c>
      <c r="D8" s="27">
        <v>104.0</v>
      </c>
      <c r="E8" s="26">
        <f t="shared" si="1"/>
        <v>7</v>
      </c>
      <c r="F8" s="14">
        <v>1182.6</v>
      </c>
      <c r="G8" s="15">
        <f t="shared" si="2"/>
        <v>8278.2</v>
      </c>
      <c r="H8" s="15">
        <v>5000.0</v>
      </c>
      <c r="I8" s="15">
        <f t="shared" si="3"/>
        <v>13278.2</v>
      </c>
      <c r="J8" s="16">
        <v>45724.0</v>
      </c>
      <c r="K8" s="12"/>
      <c r="L8" s="17" t="s">
        <v>146</v>
      </c>
      <c r="M8" s="33">
        <f t="shared" si="4"/>
        <v>13278.2</v>
      </c>
      <c r="N8" s="12"/>
      <c r="O8" s="29"/>
      <c r="P8" s="15">
        <f t="shared" si="5"/>
        <v>0</v>
      </c>
      <c r="Q8" s="15"/>
    </row>
    <row r="9" ht="22.5" customHeight="1">
      <c r="A9" s="26">
        <v>19.0</v>
      </c>
      <c r="B9" s="12" t="str">
        <f>Usuarios!B20 &amp; " " &amp; Usuarios!C20 &amp; " " &amp; Usuarios!D20
</f>
        <v>Eduardo  Chavez </v>
      </c>
      <c r="C9" s="26">
        <f t="array" ref="C9">INDEX('01-2025'!D:D,MATCH(INDEX(A:A, ROW()), '01-2025'!A:A, 0))</f>
        <v>67</v>
      </c>
      <c r="D9" s="27">
        <v>73.0</v>
      </c>
      <c r="E9" s="26">
        <f t="shared" si="1"/>
        <v>6</v>
      </c>
      <c r="F9" s="14">
        <v>1182.6</v>
      </c>
      <c r="G9" s="15">
        <f t="shared" si="2"/>
        <v>7095.6</v>
      </c>
      <c r="H9" s="15">
        <v>5000.0</v>
      </c>
      <c r="I9" s="15">
        <f t="shared" si="3"/>
        <v>12095.6</v>
      </c>
      <c r="J9" s="16">
        <v>45724.0</v>
      </c>
      <c r="K9" s="12"/>
      <c r="L9" s="17" t="s">
        <v>146</v>
      </c>
      <c r="M9" s="33">
        <f t="shared" si="4"/>
        <v>12095.6</v>
      </c>
      <c r="N9" s="12"/>
      <c r="O9" s="29"/>
      <c r="P9" s="15">
        <f t="shared" si="5"/>
        <v>0</v>
      </c>
      <c r="Q9" s="15"/>
    </row>
    <row r="10" ht="22.5" customHeight="1">
      <c r="A10" s="26">
        <v>52.0</v>
      </c>
      <c r="B10" s="12" t="str">
        <f>Usuarios!B53 &amp; " " &amp; Usuarios!C53 &amp; " " &amp; Usuarios!D53
</f>
        <v>Esteban  Oyarzo  Levil</v>
      </c>
      <c r="C10" s="26">
        <f t="array" ref="C10">INDEX('01-2025'!D:D,MATCH(INDEX(A:A, ROW()), '01-2025'!A:A, 0))</f>
        <v>0</v>
      </c>
      <c r="D10" s="27">
        <v>0.0</v>
      </c>
      <c r="E10" s="26">
        <f t="shared" si="1"/>
        <v>0</v>
      </c>
      <c r="F10" s="14">
        <v>1182.6</v>
      </c>
      <c r="G10" s="15">
        <f t="shared" si="2"/>
        <v>0</v>
      </c>
      <c r="H10" s="15">
        <v>5000.0</v>
      </c>
      <c r="I10" s="15">
        <f t="shared" si="3"/>
        <v>5000</v>
      </c>
      <c r="J10" s="16">
        <v>45724.0</v>
      </c>
      <c r="K10" s="12"/>
      <c r="L10" s="32" t="s">
        <v>143</v>
      </c>
      <c r="M10" s="26">
        <f t="shared" si="4"/>
        <v>0</v>
      </c>
      <c r="N10" s="12"/>
      <c r="O10" s="29"/>
      <c r="P10" s="15">
        <f t="shared" si="5"/>
        <v>5000</v>
      </c>
      <c r="Q10" s="15"/>
    </row>
    <row r="11" ht="22.5" customHeight="1">
      <c r="A11" s="26">
        <v>8.0</v>
      </c>
      <c r="B11" s="12" t="str">
        <f>Usuarios!B9 &amp; " " &amp; Usuarios!C9 &amp; " " &amp; Usuarios!D9
</f>
        <v>Gabriel  Farias </v>
      </c>
      <c r="C11" s="26">
        <f t="array" ref="C11">INDEX('01-2025'!D:D,MATCH(INDEX(A:A, ROW()), '01-2025'!A:A, 0))</f>
        <v>379</v>
      </c>
      <c r="D11" s="27">
        <v>399.0</v>
      </c>
      <c r="E11" s="26">
        <f t="shared" si="1"/>
        <v>20</v>
      </c>
      <c r="F11" s="14">
        <v>1182.6</v>
      </c>
      <c r="G11" s="15">
        <f t="shared" si="2"/>
        <v>23652</v>
      </c>
      <c r="H11" s="15">
        <v>5000.0</v>
      </c>
      <c r="I11" s="15">
        <f t="shared" si="3"/>
        <v>28652</v>
      </c>
      <c r="J11" s="16">
        <v>45724.0</v>
      </c>
      <c r="K11" s="12"/>
      <c r="L11" s="17" t="s">
        <v>146</v>
      </c>
      <c r="M11" s="33">
        <f t="shared" si="4"/>
        <v>28652</v>
      </c>
      <c r="N11" s="12"/>
      <c r="O11" s="29"/>
      <c r="P11" s="15">
        <f t="shared" si="5"/>
        <v>0</v>
      </c>
      <c r="Q11" s="15"/>
    </row>
    <row r="12" ht="22.5" customHeight="1">
      <c r="A12" s="26">
        <v>2.0</v>
      </c>
      <c r="B12" s="12" t="str">
        <f>Usuarios!B3 &amp; " " &amp; Usuarios!C3 &amp; " " &amp; Usuarios!D3
</f>
        <v>Gabriel Barria Zuñiga</v>
      </c>
      <c r="C12" s="26">
        <f t="array" ref="C12">INDEX('01-2025'!D:D,MATCH(INDEX(A:A, ROW()), '01-2025'!A:A, 0))</f>
        <v>253</v>
      </c>
      <c r="D12" s="27">
        <v>270.0</v>
      </c>
      <c r="E12" s="26">
        <f t="shared" si="1"/>
        <v>17</v>
      </c>
      <c r="F12" s="14">
        <v>1182.6</v>
      </c>
      <c r="G12" s="15">
        <f t="shared" si="2"/>
        <v>20104.2</v>
      </c>
      <c r="H12" s="15">
        <v>5000.0</v>
      </c>
      <c r="I12" s="15">
        <f t="shared" si="3"/>
        <v>25104.2</v>
      </c>
      <c r="J12" s="16">
        <v>45724.0</v>
      </c>
      <c r="K12" s="12"/>
      <c r="L12" s="17" t="s">
        <v>146</v>
      </c>
      <c r="M12" s="33">
        <f t="shared" si="4"/>
        <v>25104.2</v>
      </c>
      <c r="N12" s="12"/>
      <c r="O12" s="29"/>
      <c r="P12" s="15">
        <f t="shared" si="5"/>
        <v>0</v>
      </c>
      <c r="Q12" s="15"/>
    </row>
    <row r="13" ht="22.5" customHeight="1">
      <c r="A13" s="26">
        <v>3.0</v>
      </c>
      <c r="B13" s="12" t="str">
        <f>Usuarios!B4 &amp; " " &amp; Usuarios!C4 &amp; " " &amp; Usuarios!D4
</f>
        <v>Gino  Reyes </v>
      </c>
      <c r="C13" s="26">
        <f t="array" ref="C13">INDEX('01-2025'!D:D,MATCH(INDEX(A:A, ROW()), '01-2025'!A:A, 0))</f>
        <v>55</v>
      </c>
      <c r="D13" s="27">
        <v>60.0</v>
      </c>
      <c r="E13" s="26">
        <f t="shared" si="1"/>
        <v>5</v>
      </c>
      <c r="F13" s="14">
        <v>1182.6</v>
      </c>
      <c r="G13" s="15">
        <f t="shared" si="2"/>
        <v>5913</v>
      </c>
      <c r="H13" s="15">
        <v>5000.0</v>
      </c>
      <c r="I13" s="15">
        <f t="shared" si="3"/>
        <v>10913</v>
      </c>
      <c r="J13" s="16">
        <v>45724.0</v>
      </c>
      <c r="K13" s="12"/>
      <c r="L13" s="17" t="s">
        <v>146</v>
      </c>
      <c r="M13" s="33">
        <f t="shared" si="4"/>
        <v>10913</v>
      </c>
      <c r="N13" s="12"/>
      <c r="O13" s="29"/>
      <c r="P13" s="15">
        <f t="shared" si="5"/>
        <v>0</v>
      </c>
      <c r="Q13" s="15"/>
    </row>
    <row r="14" ht="22.5" customHeight="1">
      <c r="A14" s="26">
        <v>39.0</v>
      </c>
      <c r="B14" s="12" t="str">
        <f>Usuarios!B40 &amp; " " &amp; Usuarios!C40 &amp; " " &amp; Usuarios!D40
</f>
        <v>Gloria  Alvarez </v>
      </c>
      <c r="C14" s="26">
        <f t="array" ref="C14">INDEX('01-2025'!D:D,MATCH(INDEX(A:A, ROW()), '01-2025'!A:A, 0))</f>
        <v>108</v>
      </c>
      <c r="D14" s="27">
        <v>108.0</v>
      </c>
      <c r="E14" s="26">
        <f t="shared" si="1"/>
        <v>0</v>
      </c>
      <c r="F14" s="14">
        <v>1182.6</v>
      </c>
      <c r="G14" s="15">
        <f t="shared" si="2"/>
        <v>0</v>
      </c>
      <c r="H14" s="15">
        <v>5000.0</v>
      </c>
      <c r="I14" s="15">
        <f t="shared" si="3"/>
        <v>5000</v>
      </c>
      <c r="J14" s="16">
        <v>45724.0</v>
      </c>
      <c r="K14" s="12"/>
      <c r="L14" s="17" t="s">
        <v>146</v>
      </c>
      <c r="M14" s="33">
        <f t="shared" si="4"/>
        <v>5000</v>
      </c>
      <c r="N14" s="12"/>
      <c r="O14" s="29"/>
      <c r="P14" s="15">
        <f t="shared" si="5"/>
        <v>0</v>
      </c>
      <c r="Q14" s="15"/>
    </row>
    <row r="15" ht="22.5" customHeight="1">
      <c r="A15" s="26">
        <v>40.0</v>
      </c>
      <c r="B15" s="12" t="str">
        <f>Usuarios!B41 &amp; " " &amp; Usuarios!C41 &amp; " " &amp; Usuarios!D41
</f>
        <v>Gloria  Levil </v>
      </c>
      <c r="C15" s="26">
        <f t="array" ref="C15">INDEX('01-2025'!D:D,MATCH(INDEX(A:A, ROW()), '01-2025'!A:A, 0))</f>
        <v>81</v>
      </c>
      <c r="D15" s="27">
        <v>85.0</v>
      </c>
      <c r="E15" s="26">
        <f t="shared" si="1"/>
        <v>4</v>
      </c>
      <c r="F15" s="14">
        <v>1182.6</v>
      </c>
      <c r="G15" s="15">
        <f t="shared" si="2"/>
        <v>4730.4</v>
      </c>
      <c r="H15" s="15">
        <v>5000.0</v>
      </c>
      <c r="I15" s="15">
        <f t="shared" si="3"/>
        <v>9730.4</v>
      </c>
      <c r="J15" s="16">
        <v>45724.0</v>
      </c>
      <c r="K15" s="12"/>
      <c r="L15" s="32" t="s">
        <v>143</v>
      </c>
      <c r="M15" s="26">
        <f t="shared" si="4"/>
        <v>0</v>
      </c>
      <c r="N15" s="12"/>
      <c r="O15" s="29"/>
      <c r="P15" s="15">
        <f t="shared" si="5"/>
        <v>9730.4</v>
      </c>
      <c r="Q15" s="15"/>
    </row>
    <row r="16" ht="22.5" customHeight="1">
      <c r="A16" s="26">
        <v>50.0</v>
      </c>
      <c r="B16" s="12" t="str">
        <f>Usuarios!B51 &amp; " " &amp; Usuarios!C51 &amp; " " &amp; Usuarios!D51
</f>
        <v>Gloria Isamar  Velasquez  Almonacid</v>
      </c>
      <c r="C16" s="26">
        <f t="array" ref="C16">INDEX('01-2025'!D:D,MATCH(INDEX(A:A, ROW()), '01-2025'!A:A, 0))</f>
        <v>18</v>
      </c>
      <c r="D16" s="27">
        <v>24.0</v>
      </c>
      <c r="E16" s="26">
        <f t="shared" si="1"/>
        <v>6</v>
      </c>
      <c r="F16" s="14">
        <v>1182.6</v>
      </c>
      <c r="G16" s="15">
        <f t="shared" si="2"/>
        <v>7095.6</v>
      </c>
      <c r="H16" s="15">
        <v>5000.0</v>
      </c>
      <c r="I16" s="15">
        <f t="shared" si="3"/>
        <v>12095.6</v>
      </c>
      <c r="J16" s="16">
        <v>45724.0</v>
      </c>
      <c r="K16" s="12"/>
      <c r="L16" s="17" t="s">
        <v>146</v>
      </c>
      <c r="M16" s="33">
        <f t="shared" si="4"/>
        <v>12095.6</v>
      </c>
      <c r="N16" s="12"/>
      <c r="O16" s="29"/>
      <c r="P16" s="15">
        <f t="shared" si="5"/>
        <v>0</v>
      </c>
      <c r="Q16" s="15"/>
    </row>
    <row r="17" ht="22.5" customHeight="1">
      <c r="A17" s="26">
        <v>26.0</v>
      </c>
      <c r="B17" s="12" t="str">
        <f>Usuarios!B27 &amp; " " &amp; Usuarios!C27 &amp; " " &amp; Usuarios!D27
</f>
        <v>Guido  Quintuy </v>
      </c>
      <c r="C17" s="26">
        <f t="array" ref="C17">INDEX('01-2025'!D:D,MATCH(INDEX(A:A, ROW()), '01-2025'!A:A, 0))</f>
        <v>117</v>
      </c>
      <c r="D17" s="27">
        <v>128.0</v>
      </c>
      <c r="E17" s="26">
        <f t="shared" si="1"/>
        <v>11</v>
      </c>
      <c r="F17" s="14">
        <v>1182.6</v>
      </c>
      <c r="G17" s="15">
        <f t="shared" si="2"/>
        <v>13008.6</v>
      </c>
      <c r="H17" s="15">
        <v>5000.0</v>
      </c>
      <c r="I17" s="15">
        <f t="shared" si="3"/>
        <v>18008.6</v>
      </c>
      <c r="J17" s="16">
        <v>45724.0</v>
      </c>
      <c r="K17" s="12"/>
      <c r="L17" s="17" t="s">
        <v>146</v>
      </c>
      <c r="M17" s="33">
        <f t="shared" si="4"/>
        <v>18008.6</v>
      </c>
      <c r="N17" s="12"/>
      <c r="O17" s="29"/>
      <c r="P17" s="15">
        <f t="shared" si="5"/>
        <v>0</v>
      </c>
      <c r="Q17" s="15"/>
    </row>
    <row r="18" ht="22.5" customHeight="1">
      <c r="A18" s="26">
        <v>55.0</v>
      </c>
      <c r="B18" s="12" t="str">
        <f>Usuarios!B56 &amp; " " &amp; Usuarios!C56 &amp; " " &amp; Usuarios!D56
</f>
        <v>Guido  Quintuy - Sitio vacío </v>
      </c>
      <c r="C18" s="26">
        <f t="array" ref="C18">INDEX('01-2025'!D:D,MATCH(INDEX(A:A, ROW()), '01-2025'!A:A, 0))</f>
        <v>0</v>
      </c>
      <c r="D18" s="27">
        <v>0.0</v>
      </c>
      <c r="E18" s="26">
        <f t="shared" si="1"/>
        <v>0</v>
      </c>
      <c r="F18" s="14">
        <v>1182.6</v>
      </c>
      <c r="G18" s="15">
        <f t="shared" si="2"/>
        <v>0</v>
      </c>
      <c r="H18" s="15">
        <v>5000.0</v>
      </c>
      <c r="I18" s="15">
        <f t="shared" si="3"/>
        <v>5000</v>
      </c>
      <c r="J18" s="16">
        <v>45724.0</v>
      </c>
      <c r="K18" s="12"/>
      <c r="L18" s="32" t="s">
        <v>143</v>
      </c>
      <c r="M18" s="26">
        <f t="shared" si="4"/>
        <v>0</v>
      </c>
      <c r="N18" s="12"/>
      <c r="O18" s="29"/>
      <c r="P18" s="15">
        <f t="shared" si="5"/>
        <v>5000</v>
      </c>
      <c r="Q18" s="15"/>
    </row>
    <row r="19" ht="22.5" customHeight="1">
      <c r="A19" s="26">
        <v>25.0</v>
      </c>
      <c r="B19" s="12" t="str">
        <f>Usuarios!B26 &amp; " " &amp; Usuarios!C26 &amp; " " &amp; Usuarios!D26
</f>
        <v>Inés  Velasquez </v>
      </c>
      <c r="C19" s="26">
        <f t="array" ref="C19">INDEX('01-2025'!D:D,MATCH(INDEX(A:A, ROW()), '01-2025'!A:A, 0))</f>
        <v>100</v>
      </c>
      <c r="D19" s="27">
        <v>109.0</v>
      </c>
      <c r="E19" s="26">
        <f t="shared" si="1"/>
        <v>9</v>
      </c>
      <c r="F19" s="14">
        <v>1182.6</v>
      </c>
      <c r="G19" s="15">
        <f t="shared" si="2"/>
        <v>10643.4</v>
      </c>
      <c r="H19" s="15">
        <v>5000.0</v>
      </c>
      <c r="I19" s="15">
        <f t="shared" si="3"/>
        <v>15643.4</v>
      </c>
      <c r="J19" s="16">
        <v>45724.0</v>
      </c>
      <c r="K19" s="12"/>
      <c r="L19" s="17" t="s">
        <v>146</v>
      </c>
      <c r="M19" s="33">
        <f t="shared" si="4"/>
        <v>15643.4</v>
      </c>
      <c r="N19" s="12"/>
      <c r="O19" s="29"/>
      <c r="P19" s="15">
        <f t="shared" si="5"/>
        <v>0</v>
      </c>
      <c r="Q19" s="15"/>
    </row>
    <row r="20" ht="22.5" customHeight="1">
      <c r="A20" s="26">
        <v>17.0</v>
      </c>
      <c r="B20" s="12" t="str">
        <f>Usuarios!B18 &amp; " " &amp; Usuarios!C18 &amp; " " &amp; Usuarios!D18
</f>
        <v>Joaquin  Claramunt </v>
      </c>
      <c r="C20" s="26">
        <f t="array" ref="C20">INDEX('01-2025'!D:D,MATCH(INDEX(A:A, ROW()), '01-2025'!A:A, 0))</f>
        <v>145</v>
      </c>
      <c r="D20" s="27">
        <v>152.0</v>
      </c>
      <c r="E20" s="26">
        <f t="shared" si="1"/>
        <v>7</v>
      </c>
      <c r="F20" s="14">
        <v>1182.6</v>
      </c>
      <c r="G20" s="15">
        <f t="shared" si="2"/>
        <v>8278.2</v>
      </c>
      <c r="H20" s="15">
        <v>5000.0</v>
      </c>
      <c r="I20" s="15">
        <f t="shared" si="3"/>
        <v>13278.2</v>
      </c>
      <c r="J20" s="16">
        <v>45724.0</v>
      </c>
      <c r="K20" s="12"/>
      <c r="L20" s="17" t="s">
        <v>146</v>
      </c>
      <c r="M20" s="33">
        <f t="shared" si="4"/>
        <v>13278.2</v>
      </c>
      <c r="N20" s="12"/>
      <c r="O20" s="29"/>
      <c r="P20" s="15">
        <f t="shared" si="5"/>
        <v>0</v>
      </c>
      <c r="Q20" s="15"/>
    </row>
    <row r="21" ht="22.5" customHeight="1">
      <c r="A21" s="26">
        <v>35.0</v>
      </c>
      <c r="B21" s="12" t="str">
        <f>Usuarios!B36 &amp; " " &amp; Usuarios!C36 &amp; " " &amp; Usuarios!D36
</f>
        <v>José  Paredes </v>
      </c>
      <c r="C21" s="26">
        <f t="array" ref="C21">INDEX('01-2025'!D:D,MATCH(INDEX(A:A, ROW()), '01-2025'!A:A, 0))</f>
        <v>0</v>
      </c>
      <c r="D21" s="27">
        <v>0.0</v>
      </c>
      <c r="E21" s="26">
        <f t="shared" si="1"/>
        <v>0</v>
      </c>
      <c r="F21" s="14">
        <v>1182.6</v>
      </c>
      <c r="G21" s="15">
        <f t="shared" si="2"/>
        <v>0</v>
      </c>
      <c r="H21" s="15">
        <v>5000.0</v>
      </c>
      <c r="I21" s="15">
        <f t="shared" si="3"/>
        <v>5000</v>
      </c>
      <c r="J21" s="16">
        <v>45724.0</v>
      </c>
      <c r="K21" s="12"/>
      <c r="L21" s="17" t="s">
        <v>143</v>
      </c>
      <c r="M21" s="26">
        <f t="shared" si="4"/>
        <v>0</v>
      </c>
      <c r="N21" s="12"/>
      <c r="O21" s="29"/>
      <c r="P21" s="15">
        <f t="shared" si="5"/>
        <v>5000</v>
      </c>
      <c r="Q21" s="15"/>
    </row>
    <row r="22" ht="22.5" customHeight="1">
      <c r="A22" s="26">
        <v>20.0</v>
      </c>
      <c r="B22" s="12" t="str">
        <f>Usuarios!B21 &amp; " " &amp; Usuarios!C21 &amp; " " &amp; Usuarios!D21
</f>
        <v>Juan  Chavez </v>
      </c>
      <c r="C22" s="26">
        <f t="array" ref="C22">INDEX('01-2025'!D:D,MATCH(INDEX(A:A, ROW()), '01-2025'!A:A, 0))</f>
        <v>21</v>
      </c>
      <c r="D22" s="27">
        <v>22.0</v>
      </c>
      <c r="E22" s="26">
        <f t="shared" si="1"/>
        <v>1</v>
      </c>
      <c r="F22" s="14">
        <v>1182.6</v>
      </c>
      <c r="G22" s="15">
        <f t="shared" si="2"/>
        <v>1182.6</v>
      </c>
      <c r="H22" s="15">
        <v>5000.0</v>
      </c>
      <c r="I22" s="15">
        <f t="shared" si="3"/>
        <v>6182.6</v>
      </c>
      <c r="J22" s="16">
        <v>45724.0</v>
      </c>
      <c r="K22" s="12"/>
      <c r="L22" s="17" t="s">
        <v>146</v>
      </c>
      <c r="M22" s="33">
        <f t="shared" si="4"/>
        <v>6182.6</v>
      </c>
      <c r="N22" s="12"/>
      <c r="O22" s="29"/>
      <c r="P22" s="15">
        <f t="shared" si="5"/>
        <v>0</v>
      </c>
      <c r="Q22" s="15"/>
    </row>
    <row r="23" ht="22.5" customHeight="1">
      <c r="A23" s="26">
        <v>42.0</v>
      </c>
      <c r="B23" s="12" t="str">
        <f>Usuarios!B43 &amp; " " &amp; Usuarios!C43 &amp; " " &amp; Usuarios!D43
</f>
        <v>Leo  Soto </v>
      </c>
      <c r="C23" s="26">
        <f t="array" ref="C23">INDEX('01-2025'!D:D,MATCH(INDEX(A:A, ROW()), '01-2025'!A:A, 0))</f>
        <v>0</v>
      </c>
      <c r="D23" s="27">
        <v>0.0</v>
      </c>
      <c r="E23" s="26">
        <f t="shared" si="1"/>
        <v>0</v>
      </c>
      <c r="F23" s="14">
        <v>1182.6</v>
      </c>
      <c r="G23" s="15">
        <f t="shared" si="2"/>
        <v>0</v>
      </c>
      <c r="H23" s="15">
        <v>5000.0</v>
      </c>
      <c r="I23" s="15">
        <f t="shared" si="3"/>
        <v>5000</v>
      </c>
      <c r="J23" s="16">
        <v>45724.0</v>
      </c>
      <c r="K23" s="12"/>
      <c r="L23" s="32" t="s">
        <v>143</v>
      </c>
      <c r="M23" s="26">
        <f t="shared" si="4"/>
        <v>0</v>
      </c>
      <c r="N23" s="12"/>
      <c r="O23" s="29"/>
      <c r="P23" s="15">
        <f t="shared" si="5"/>
        <v>5000</v>
      </c>
      <c r="Q23" s="15"/>
    </row>
    <row r="24" ht="22.5" customHeight="1">
      <c r="A24" s="26">
        <v>57.0</v>
      </c>
      <c r="B24" s="12" t="str">
        <f>Usuarios!B58 &amp; " " &amp; Usuarios!C58 &amp; " " &amp; Usuarios!D58
</f>
        <v>Lishby  Fuentes  Diaz</v>
      </c>
      <c r="C24" s="26">
        <f t="array" ref="C24">INDEX('01-2025'!D:D,MATCH(INDEX(A:A, ROW()), '01-2025'!A:A, 0))</f>
        <v>0</v>
      </c>
      <c r="D24" s="28">
        <v>0.0</v>
      </c>
      <c r="E24" s="26">
        <f t="shared" si="1"/>
        <v>0</v>
      </c>
      <c r="F24" s="14">
        <v>1182.6</v>
      </c>
      <c r="G24" s="15">
        <f t="shared" si="2"/>
        <v>0</v>
      </c>
      <c r="H24" s="15">
        <v>5000.0</v>
      </c>
      <c r="I24" s="15">
        <f t="shared" si="3"/>
        <v>5000</v>
      </c>
      <c r="J24" s="16">
        <v>45724.0</v>
      </c>
      <c r="K24" s="12"/>
      <c r="L24" s="17" t="s">
        <v>144</v>
      </c>
      <c r="M24" s="26">
        <f t="shared" si="4"/>
        <v>0</v>
      </c>
      <c r="N24" s="12"/>
      <c r="O24" s="29"/>
      <c r="P24" s="15">
        <f t="shared" si="5"/>
        <v>0</v>
      </c>
      <c r="Q24" s="15"/>
    </row>
    <row r="25" ht="22.5" customHeight="1">
      <c r="A25" s="26">
        <v>48.0</v>
      </c>
      <c r="B25" s="12" t="str">
        <f>Usuarios!B49 &amp; " " &amp; Usuarios!C49 &amp; " " &amp; Usuarios!D49
</f>
        <v>Luis Vicente   Mondaca  Muñoz</v>
      </c>
      <c r="C25" s="26">
        <f t="array" ref="C25">INDEX('01-2025'!D:D,MATCH(INDEX(A:A, ROW()), '01-2025'!A:A, 0))</f>
        <v>226</v>
      </c>
      <c r="D25" s="27">
        <v>249.0</v>
      </c>
      <c r="E25" s="26">
        <f t="shared" si="1"/>
        <v>23</v>
      </c>
      <c r="F25" s="14">
        <v>1182.6</v>
      </c>
      <c r="G25" s="15">
        <f t="shared" si="2"/>
        <v>27199.8</v>
      </c>
      <c r="H25" s="15">
        <v>5000.0</v>
      </c>
      <c r="I25" s="15">
        <f t="shared" si="3"/>
        <v>32199.8</v>
      </c>
      <c r="J25" s="16">
        <v>45724.0</v>
      </c>
      <c r="K25" s="12"/>
      <c r="L25" s="17" t="s">
        <v>146</v>
      </c>
      <c r="M25" s="33">
        <f t="shared" si="4"/>
        <v>32199.8</v>
      </c>
      <c r="N25" s="12"/>
      <c r="O25" s="29"/>
      <c r="P25" s="15">
        <f t="shared" si="5"/>
        <v>0</v>
      </c>
      <c r="Q25" s="15"/>
    </row>
    <row r="26" ht="22.5" customHeight="1">
      <c r="A26" s="26">
        <v>30.0</v>
      </c>
      <c r="B26" s="12" t="str">
        <f>Usuarios!B31 &amp; " " &amp; Usuarios!C31 &amp; " " &amp; Usuarios!D31
</f>
        <v>Luz  Maldonado </v>
      </c>
      <c r="C26" s="26">
        <f t="array" ref="C26">INDEX('01-2025'!D:D,MATCH(INDEX(A:A, ROW()), '01-2025'!A:A, 0))</f>
        <v>5</v>
      </c>
      <c r="D26" s="27">
        <v>5.0</v>
      </c>
      <c r="E26" s="26">
        <f t="shared" si="1"/>
        <v>0</v>
      </c>
      <c r="F26" s="14">
        <v>1182.6</v>
      </c>
      <c r="G26" s="15">
        <f t="shared" si="2"/>
        <v>0</v>
      </c>
      <c r="H26" s="15">
        <v>5000.0</v>
      </c>
      <c r="I26" s="15">
        <f t="shared" si="3"/>
        <v>5000</v>
      </c>
      <c r="J26" s="16">
        <v>45724.0</v>
      </c>
      <c r="K26" s="12"/>
      <c r="L26" s="17" t="s">
        <v>146</v>
      </c>
      <c r="M26" s="33">
        <f t="shared" si="4"/>
        <v>5000</v>
      </c>
      <c r="N26" s="12"/>
      <c r="O26" s="29"/>
      <c r="P26" s="15">
        <f t="shared" si="5"/>
        <v>0</v>
      </c>
      <c r="Q26" s="15"/>
    </row>
    <row r="27" ht="22.5" customHeight="1">
      <c r="A27" s="26">
        <v>7.0</v>
      </c>
      <c r="B27" s="12" t="str">
        <f>Usuarios!B8 &amp; " " &amp; Usuarios!C8 &amp; " " &amp; Usuarios!D8
</f>
        <v>Marcelo  Millanao </v>
      </c>
      <c r="C27" s="26">
        <f t="array" ref="C27">INDEX('01-2025'!D:D,MATCH(INDEX(A:A, ROW()), '01-2025'!A:A, 0))</f>
        <v>211</v>
      </c>
      <c r="D27" s="27">
        <v>224.0</v>
      </c>
      <c r="E27" s="26">
        <f t="shared" si="1"/>
        <v>13</v>
      </c>
      <c r="F27" s="14">
        <v>1182.6</v>
      </c>
      <c r="G27" s="15">
        <f t="shared" si="2"/>
        <v>15373.8</v>
      </c>
      <c r="H27" s="15">
        <v>5000.0</v>
      </c>
      <c r="I27" s="15">
        <f t="shared" si="3"/>
        <v>20373.8</v>
      </c>
      <c r="J27" s="16">
        <v>45724.0</v>
      </c>
      <c r="K27" s="12"/>
      <c r="L27" s="17" t="s">
        <v>146</v>
      </c>
      <c r="M27" s="33">
        <f t="shared" si="4"/>
        <v>20373.8</v>
      </c>
      <c r="N27" s="12"/>
      <c r="O27" s="29"/>
      <c r="P27" s="15">
        <f t="shared" si="5"/>
        <v>0</v>
      </c>
      <c r="Q27" s="15"/>
    </row>
    <row r="28" ht="22.5" customHeight="1">
      <c r="A28" s="26">
        <v>51.0</v>
      </c>
      <c r="B28" s="12" t="str">
        <f>Usuarios!B52 &amp; " " &amp; Usuarios!C52 &amp; " " &amp; Usuarios!D52
</f>
        <v>Maria  Manquian </v>
      </c>
      <c r="C28" s="26">
        <f t="array" ref="C28">INDEX('01-2025'!D:D,MATCH(INDEX(A:A, ROW()), '01-2025'!A:A, 0))</f>
        <v>0</v>
      </c>
      <c r="D28" s="27">
        <v>0.0</v>
      </c>
      <c r="E28" s="26">
        <f t="shared" si="1"/>
        <v>0</v>
      </c>
      <c r="F28" s="14">
        <v>1182.6</v>
      </c>
      <c r="G28" s="15">
        <f t="shared" si="2"/>
        <v>0</v>
      </c>
      <c r="H28" s="15">
        <v>5000.0</v>
      </c>
      <c r="I28" s="15">
        <f t="shared" si="3"/>
        <v>5000</v>
      </c>
      <c r="J28" s="16">
        <v>45724.0</v>
      </c>
      <c r="K28" s="12"/>
      <c r="L28" s="17" t="s">
        <v>146</v>
      </c>
      <c r="M28" s="33">
        <f t="shared" si="4"/>
        <v>5000</v>
      </c>
      <c r="N28" s="12"/>
      <c r="O28" s="29" t="s">
        <v>147</v>
      </c>
      <c r="P28" s="15">
        <f t="shared" si="5"/>
        <v>0</v>
      </c>
      <c r="Q28" s="15"/>
    </row>
    <row r="29" ht="22.5" customHeight="1">
      <c r="A29" s="26">
        <v>9.0</v>
      </c>
      <c r="B29" s="12" t="str">
        <f>Usuarios!B10 &amp; " " &amp; Usuarios!C10 &amp; " " &amp; Usuarios!D10
</f>
        <v>Maria  Marin </v>
      </c>
      <c r="C29" s="26">
        <f t="array" ref="C29">INDEX('01-2025'!D:D,MATCH(INDEX(A:A, ROW()), '01-2025'!A:A, 0))</f>
        <v>137</v>
      </c>
      <c r="D29" s="27">
        <v>153.0</v>
      </c>
      <c r="E29" s="26">
        <f t="shared" si="1"/>
        <v>16</v>
      </c>
      <c r="F29" s="14">
        <v>1182.6</v>
      </c>
      <c r="G29" s="15">
        <f t="shared" si="2"/>
        <v>18921.6</v>
      </c>
      <c r="H29" s="15">
        <v>5000.0</v>
      </c>
      <c r="I29" s="15">
        <f t="shared" si="3"/>
        <v>23921.6</v>
      </c>
      <c r="J29" s="16">
        <v>45724.0</v>
      </c>
      <c r="K29" s="12"/>
      <c r="L29" s="17" t="s">
        <v>146</v>
      </c>
      <c r="M29" s="33">
        <f t="shared" si="4"/>
        <v>23921.6</v>
      </c>
      <c r="N29" s="12"/>
      <c r="O29" s="29"/>
      <c r="P29" s="15">
        <f t="shared" si="5"/>
        <v>0</v>
      </c>
      <c r="Q29" s="15"/>
    </row>
    <row r="30" ht="22.5" customHeight="1">
      <c r="A30" s="26">
        <v>33.0</v>
      </c>
      <c r="B30" s="12" t="str">
        <f>Usuarios!B34 &amp; " " &amp; Usuarios!C34 &amp; " " &amp; Usuarios!D34
</f>
        <v>Maria Oliva  Soto  Almonacid</v>
      </c>
      <c r="C30" s="26">
        <f t="array" ref="C30">INDEX('01-2025'!D:D,MATCH(INDEX(A:A, ROW()), '01-2025'!A:A, 0))</f>
        <v>43</v>
      </c>
      <c r="D30" s="27">
        <v>45.0</v>
      </c>
      <c r="E30" s="26">
        <f t="shared" si="1"/>
        <v>2</v>
      </c>
      <c r="F30" s="14">
        <v>1182.6</v>
      </c>
      <c r="G30" s="15">
        <f t="shared" si="2"/>
        <v>2365.2</v>
      </c>
      <c r="H30" s="15">
        <v>5000.0</v>
      </c>
      <c r="I30" s="15">
        <f t="shared" si="3"/>
        <v>7365.2</v>
      </c>
      <c r="J30" s="16">
        <v>45724.0</v>
      </c>
      <c r="K30" s="12"/>
      <c r="L30" s="17" t="s">
        <v>146</v>
      </c>
      <c r="M30" s="33">
        <f t="shared" si="4"/>
        <v>7365.2</v>
      </c>
      <c r="N30" s="12"/>
      <c r="O30" s="29"/>
      <c r="P30" s="15">
        <f t="shared" si="5"/>
        <v>0</v>
      </c>
      <c r="Q30" s="15"/>
    </row>
    <row r="31" ht="22.5" customHeight="1">
      <c r="A31" s="26">
        <v>44.0</v>
      </c>
      <c r="B31" s="12" t="str">
        <f>Usuarios!B45 &amp; " " &amp; Usuarios!C45 &amp; " " &amp; Usuarios!D45
</f>
        <v>María Sonia  Quintui </v>
      </c>
      <c r="C31" s="26">
        <f t="array" ref="C31">INDEX('01-2025'!D:D,MATCH(INDEX(A:A, ROW()), '01-2025'!A:A, 0))</f>
        <v>0</v>
      </c>
      <c r="D31" s="27">
        <v>0.0</v>
      </c>
      <c r="E31" s="26">
        <f t="shared" si="1"/>
        <v>0</v>
      </c>
      <c r="F31" s="14">
        <v>1182.6</v>
      </c>
      <c r="G31" s="15">
        <f t="shared" si="2"/>
        <v>0</v>
      </c>
      <c r="H31" s="15">
        <v>5000.0</v>
      </c>
      <c r="I31" s="15">
        <f t="shared" si="3"/>
        <v>5000</v>
      </c>
      <c r="J31" s="16">
        <v>45724.0</v>
      </c>
      <c r="K31" s="12"/>
      <c r="L31" s="17" t="s">
        <v>146</v>
      </c>
      <c r="M31" s="33">
        <f t="shared" si="4"/>
        <v>5000</v>
      </c>
      <c r="N31" s="12"/>
      <c r="O31" s="29"/>
      <c r="P31" s="15">
        <f t="shared" si="5"/>
        <v>0</v>
      </c>
      <c r="Q31" s="15"/>
    </row>
    <row r="32" ht="22.5" customHeight="1">
      <c r="A32" s="26">
        <v>24.0</v>
      </c>
      <c r="B32" s="12" t="str">
        <f>Usuarios!B25 &amp; " " &amp; Usuarios!C25 &amp; " " &amp; Usuarios!D25
</f>
        <v>Maria Velasquez  Miranda</v>
      </c>
      <c r="C32" s="26">
        <f t="array" ref="C32">INDEX('01-2025'!D:D,MATCH(INDEX(A:A, ROW()), '01-2025'!A:A, 0))</f>
        <v>203</v>
      </c>
      <c r="D32" s="27">
        <v>227.0</v>
      </c>
      <c r="E32" s="26">
        <f t="shared" si="1"/>
        <v>24</v>
      </c>
      <c r="F32" s="14">
        <v>1182.6</v>
      </c>
      <c r="G32" s="15">
        <f t="shared" si="2"/>
        <v>28382.4</v>
      </c>
      <c r="H32" s="15">
        <v>5000.0</v>
      </c>
      <c r="I32" s="15">
        <f t="shared" si="3"/>
        <v>33382.4</v>
      </c>
      <c r="J32" s="16">
        <v>45724.0</v>
      </c>
      <c r="K32" s="12"/>
      <c r="L32" s="17" t="s">
        <v>146</v>
      </c>
      <c r="M32" s="33">
        <f t="shared" si="4"/>
        <v>33382.4</v>
      </c>
      <c r="N32" s="12"/>
      <c r="O32" s="29"/>
      <c r="P32" s="15">
        <f t="shared" si="5"/>
        <v>0</v>
      </c>
      <c r="Q32" s="15"/>
    </row>
    <row r="33" ht="22.5" customHeight="1">
      <c r="A33" s="26">
        <v>56.0</v>
      </c>
      <c r="B33" s="12" t="str">
        <f>Usuarios!B57 &amp; " " &amp; Usuarios!C57 &amp; " " &amp; Usuarios!D57
</f>
        <v>Mario  Velasquez </v>
      </c>
      <c r="C33" s="26">
        <f t="array" ref="C33">INDEX('01-2025'!D:D,MATCH(INDEX(A:A, ROW()), '01-2025'!A:A, 0))</f>
        <v>5</v>
      </c>
      <c r="D33" s="27">
        <v>8.0</v>
      </c>
      <c r="E33" s="26">
        <f t="shared" si="1"/>
        <v>3</v>
      </c>
      <c r="F33" s="14">
        <v>1182.6</v>
      </c>
      <c r="G33" s="15">
        <f t="shared" si="2"/>
        <v>3547.8</v>
      </c>
      <c r="H33" s="15">
        <v>5000.0</v>
      </c>
      <c r="I33" s="15">
        <f t="shared" si="3"/>
        <v>8547.8</v>
      </c>
      <c r="J33" s="16">
        <v>45724.0</v>
      </c>
      <c r="K33" s="12"/>
      <c r="L33" s="32" t="s">
        <v>143</v>
      </c>
      <c r="M33" s="26">
        <f t="shared" si="4"/>
        <v>0</v>
      </c>
      <c r="N33" s="12"/>
      <c r="O33" s="29"/>
      <c r="P33" s="15">
        <f t="shared" si="5"/>
        <v>8547.8</v>
      </c>
      <c r="Q33" s="15"/>
    </row>
    <row r="34" ht="22.5" customHeight="1">
      <c r="A34" s="26">
        <v>5.0</v>
      </c>
      <c r="B34" s="12" t="str">
        <f>Usuarios!B6 &amp; " " &amp; Usuarios!C6 &amp; " " &amp; Usuarios!D6
</f>
        <v>Marisol  Castro </v>
      </c>
      <c r="C34" s="26">
        <f t="array" ref="C34">INDEX('01-2025'!D:D,MATCH(INDEX(A:A, ROW()), '01-2025'!A:A, 0))</f>
        <v>88</v>
      </c>
      <c r="D34" s="27">
        <v>96.0</v>
      </c>
      <c r="E34" s="26">
        <f t="shared" si="1"/>
        <v>8</v>
      </c>
      <c r="F34" s="14">
        <v>1182.6</v>
      </c>
      <c r="G34" s="15">
        <f t="shared" si="2"/>
        <v>9460.8</v>
      </c>
      <c r="H34" s="15">
        <v>5000.0</v>
      </c>
      <c r="I34" s="15">
        <f t="shared" si="3"/>
        <v>14460.8</v>
      </c>
      <c r="J34" s="16">
        <v>45724.0</v>
      </c>
      <c r="K34" s="12"/>
      <c r="L34" s="17" t="s">
        <v>146</v>
      </c>
      <c r="M34" s="33">
        <f t="shared" si="4"/>
        <v>14460.8</v>
      </c>
      <c r="N34" s="12"/>
      <c r="O34" s="29"/>
      <c r="P34" s="15">
        <f t="shared" si="5"/>
        <v>0</v>
      </c>
      <c r="Q34" s="15"/>
    </row>
    <row r="35" ht="22.5" customHeight="1">
      <c r="A35" s="26">
        <v>6.0</v>
      </c>
      <c r="B35" s="12" t="str">
        <f>Usuarios!B7 &amp; " " &amp; Usuarios!C7 &amp; " " &amp; Usuarios!D7
</f>
        <v>Mauricio  Muñoz </v>
      </c>
      <c r="C35" s="26">
        <f t="array" ref="C35">INDEX('01-2025'!D:D,MATCH(INDEX(A:A, ROW()), '01-2025'!A:A, 0))</f>
        <v>174</v>
      </c>
      <c r="D35" s="27">
        <v>188.0</v>
      </c>
      <c r="E35" s="26">
        <f t="shared" si="1"/>
        <v>14</v>
      </c>
      <c r="F35" s="14">
        <v>1182.6</v>
      </c>
      <c r="G35" s="15">
        <f t="shared" si="2"/>
        <v>16556.4</v>
      </c>
      <c r="H35" s="15">
        <v>5000.0</v>
      </c>
      <c r="I35" s="15">
        <f t="shared" si="3"/>
        <v>21556.4</v>
      </c>
      <c r="J35" s="16">
        <v>45724.0</v>
      </c>
      <c r="K35" s="12"/>
      <c r="L35" s="17" t="s">
        <v>146</v>
      </c>
      <c r="M35" s="33">
        <f t="shared" si="4"/>
        <v>21556.4</v>
      </c>
      <c r="N35" s="12"/>
      <c r="O35" s="29"/>
      <c r="P35" s="15">
        <f t="shared" si="5"/>
        <v>0</v>
      </c>
      <c r="Q35" s="15"/>
    </row>
    <row r="36" ht="22.5" customHeight="1">
      <c r="A36" s="26">
        <v>46.0</v>
      </c>
      <c r="B36" s="12" t="str">
        <f>Usuarios!B47 &amp; " " &amp; Usuarios!C47 &amp; " " &amp; Usuarios!D47
</f>
        <v>Mauricio  Muñoz taller </v>
      </c>
      <c r="C36" s="26">
        <f t="array" ref="C36">INDEX('01-2025'!D:D,MATCH(INDEX(A:A, ROW()), '01-2025'!A:A, 0))</f>
        <v>0</v>
      </c>
      <c r="D36" s="27">
        <v>0.0</v>
      </c>
      <c r="E36" s="26">
        <f t="shared" si="1"/>
        <v>0</v>
      </c>
      <c r="F36" s="14">
        <v>1182.6</v>
      </c>
      <c r="G36" s="15">
        <f t="shared" si="2"/>
        <v>0</v>
      </c>
      <c r="H36" s="15">
        <v>5000.0</v>
      </c>
      <c r="I36" s="15">
        <f t="shared" si="3"/>
        <v>5000</v>
      </c>
      <c r="J36" s="16">
        <v>45724.0</v>
      </c>
      <c r="K36" s="12"/>
      <c r="L36" s="17" t="s">
        <v>146</v>
      </c>
      <c r="M36" s="33">
        <f t="shared" si="4"/>
        <v>5000</v>
      </c>
      <c r="N36" s="12"/>
      <c r="O36" s="29"/>
      <c r="P36" s="15">
        <f t="shared" si="5"/>
        <v>0</v>
      </c>
      <c r="Q36" s="15"/>
    </row>
    <row r="37" ht="22.5" customHeight="1">
      <c r="A37" s="26">
        <v>11.0</v>
      </c>
      <c r="B37" s="12" t="str">
        <f>Usuarios!B12 &amp; " " &amp; Usuarios!C12 &amp; " " &amp; Usuarios!D12
</f>
        <v>Miguel  Ñanco </v>
      </c>
      <c r="C37" s="26">
        <f t="array" ref="C37">INDEX('01-2025'!D:D,MATCH(INDEX(A:A, ROW()), '01-2025'!A:A, 0))</f>
        <v>189</v>
      </c>
      <c r="D37" s="27">
        <v>216.0</v>
      </c>
      <c r="E37" s="26">
        <f t="shared" si="1"/>
        <v>27</v>
      </c>
      <c r="F37" s="14">
        <v>1182.6</v>
      </c>
      <c r="G37" s="15">
        <f t="shared" si="2"/>
        <v>31930.2</v>
      </c>
      <c r="H37" s="15">
        <v>5000.0</v>
      </c>
      <c r="I37" s="15">
        <f t="shared" si="3"/>
        <v>36930.2</v>
      </c>
      <c r="J37" s="16">
        <v>45724.0</v>
      </c>
      <c r="K37" s="12"/>
      <c r="L37" s="17" t="s">
        <v>146</v>
      </c>
      <c r="M37" s="33">
        <f t="shared" si="4"/>
        <v>36930.2</v>
      </c>
      <c r="N37" s="12"/>
      <c r="O37" s="29"/>
      <c r="P37" s="15">
        <f t="shared" si="5"/>
        <v>0</v>
      </c>
      <c r="Q37" s="15"/>
    </row>
    <row r="38" ht="22.5" customHeight="1">
      <c r="A38" s="26">
        <v>29.0</v>
      </c>
      <c r="B38" s="12" t="str">
        <f>Usuarios!B30 &amp; " " &amp; Usuarios!C30 &amp; " " &amp; Usuarios!D30
</f>
        <v>Miriam  Alvarado </v>
      </c>
      <c r="C38" s="26">
        <f t="array" ref="C38">INDEX('01-2025'!D:D,MATCH(INDEX(A:A, ROW()), '01-2025'!A:A, 0))</f>
        <v>515</v>
      </c>
      <c r="D38" s="27">
        <v>539.0</v>
      </c>
      <c r="E38" s="26">
        <f t="shared" si="1"/>
        <v>24</v>
      </c>
      <c r="F38" s="14">
        <v>1182.6</v>
      </c>
      <c r="G38" s="15">
        <f t="shared" si="2"/>
        <v>28382.4</v>
      </c>
      <c r="H38" s="15">
        <v>5000.0</v>
      </c>
      <c r="I38" s="15">
        <f t="shared" si="3"/>
        <v>33382.4</v>
      </c>
      <c r="J38" s="16">
        <v>45724.0</v>
      </c>
      <c r="K38" s="12"/>
      <c r="L38" s="17" t="s">
        <v>146</v>
      </c>
      <c r="M38" s="33">
        <f t="shared" si="4"/>
        <v>33382.4</v>
      </c>
      <c r="N38" s="12"/>
      <c r="O38" s="29"/>
      <c r="P38" s="15">
        <f t="shared" si="5"/>
        <v>0</v>
      </c>
      <c r="Q38" s="15"/>
    </row>
    <row r="39" ht="22.5" customHeight="1">
      <c r="A39" s="26">
        <v>45.0</v>
      </c>
      <c r="B39" s="12" t="str">
        <f>Usuarios!B46 &amp; " " &amp; Usuarios!C46 &amp; " " &amp; Usuarios!D46
</f>
        <v>Monica  Cuello </v>
      </c>
      <c r="C39" s="26">
        <f t="array" ref="C39">INDEX('01-2025'!D:D,MATCH(INDEX(A:A, ROW()), '01-2025'!A:A, 0))</f>
        <v>0</v>
      </c>
      <c r="D39" s="27">
        <v>0.0</v>
      </c>
      <c r="E39" s="26">
        <f t="shared" si="1"/>
        <v>0</v>
      </c>
      <c r="F39" s="14">
        <v>1182.6</v>
      </c>
      <c r="G39" s="15">
        <f t="shared" si="2"/>
        <v>0</v>
      </c>
      <c r="H39" s="15">
        <v>5000.0</v>
      </c>
      <c r="I39" s="15">
        <f t="shared" si="3"/>
        <v>5000</v>
      </c>
      <c r="J39" s="16">
        <v>45724.0</v>
      </c>
      <c r="K39" s="12"/>
      <c r="L39" s="17" t="s">
        <v>146</v>
      </c>
      <c r="M39" s="33">
        <f t="shared" si="4"/>
        <v>5000</v>
      </c>
      <c r="N39" s="12"/>
      <c r="O39" s="29"/>
      <c r="P39" s="15">
        <f t="shared" si="5"/>
        <v>0</v>
      </c>
      <c r="Q39" s="15"/>
    </row>
    <row r="40" ht="22.5" customHeight="1">
      <c r="A40" s="26">
        <v>1.0</v>
      </c>
      <c r="B40" s="12" t="str">
        <f>Usuarios!B2 &amp; " " &amp; Usuarios!C2 &amp; " " &amp; Usuarios!D2
</f>
        <v>Nancy Zuñiga Villarroel</v>
      </c>
      <c r="C40" s="26">
        <f t="array" ref="C40">INDEX('01-2025'!D:D,MATCH(INDEX(A:A, ROW()), '01-2025'!A:A, 0))</f>
        <v>165</v>
      </c>
      <c r="D40" s="27">
        <v>179.0</v>
      </c>
      <c r="E40" s="26">
        <f t="shared" si="1"/>
        <v>14</v>
      </c>
      <c r="F40" s="14">
        <v>1182.6</v>
      </c>
      <c r="G40" s="15">
        <f t="shared" si="2"/>
        <v>16556.4</v>
      </c>
      <c r="H40" s="15">
        <v>5000.0</v>
      </c>
      <c r="I40" s="15">
        <f t="shared" si="3"/>
        <v>21556.4</v>
      </c>
      <c r="J40" s="16">
        <v>45724.0</v>
      </c>
      <c r="K40" s="12"/>
      <c r="L40" s="17" t="s">
        <v>146</v>
      </c>
      <c r="M40" s="33">
        <f t="shared" si="4"/>
        <v>21556.4</v>
      </c>
      <c r="N40" s="12"/>
      <c r="O40" s="29"/>
      <c r="P40" s="15">
        <f t="shared" si="5"/>
        <v>0</v>
      </c>
      <c r="Q40" s="15"/>
    </row>
    <row r="41" ht="22.5" customHeight="1">
      <c r="A41" s="26">
        <v>32.0</v>
      </c>
      <c r="B41" s="12" t="str">
        <f>Usuarios!B33 &amp; " " &amp; Usuarios!C33 &amp; " " &amp; Usuarios!D33
</f>
        <v>Natividad  Soto </v>
      </c>
      <c r="C41" s="26">
        <f t="array" ref="C41">INDEX('01-2025'!D:D,MATCH(INDEX(A:A, ROW()), '01-2025'!A:A, 0))</f>
        <v>66</v>
      </c>
      <c r="D41" s="27">
        <v>77.0</v>
      </c>
      <c r="E41" s="26">
        <f t="shared" si="1"/>
        <v>11</v>
      </c>
      <c r="F41" s="14">
        <v>1182.6</v>
      </c>
      <c r="G41" s="15">
        <f t="shared" si="2"/>
        <v>13008.6</v>
      </c>
      <c r="H41" s="15">
        <v>5000.0</v>
      </c>
      <c r="I41" s="15">
        <f t="shared" si="3"/>
        <v>18008.6</v>
      </c>
      <c r="J41" s="16">
        <v>45724.0</v>
      </c>
      <c r="K41" s="12"/>
      <c r="L41" s="17" t="s">
        <v>146</v>
      </c>
      <c r="M41" s="33">
        <f t="shared" si="4"/>
        <v>18008.6</v>
      </c>
      <c r="N41" s="12"/>
      <c r="O41" s="29"/>
      <c r="P41" s="15">
        <f t="shared" si="5"/>
        <v>0</v>
      </c>
      <c r="Q41" s="15"/>
    </row>
    <row r="42" ht="22.5" customHeight="1">
      <c r="A42" s="26">
        <v>18.0</v>
      </c>
      <c r="B42" s="12" t="str">
        <f>Usuarios!B19 &amp; " " &amp; Usuarios!C19 &amp; " " &amp; Usuarios!D19
</f>
        <v>Nelson  Mansilla </v>
      </c>
      <c r="C42" s="26">
        <f t="array" ref="C42">INDEX('01-2025'!D:D,MATCH(INDEX(A:A, ROW()), '01-2025'!A:A, 0))</f>
        <v>113</v>
      </c>
      <c r="D42" s="27">
        <v>120.0</v>
      </c>
      <c r="E42" s="26">
        <f t="shared" si="1"/>
        <v>7</v>
      </c>
      <c r="F42" s="14">
        <v>1182.6</v>
      </c>
      <c r="G42" s="15">
        <f t="shared" si="2"/>
        <v>8278.2</v>
      </c>
      <c r="H42" s="15">
        <v>5000.0</v>
      </c>
      <c r="I42" s="15">
        <f t="shared" si="3"/>
        <v>13278.2</v>
      </c>
      <c r="J42" s="16">
        <v>45724.0</v>
      </c>
      <c r="K42" s="12"/>
      <c r="L42" s="17" t="s">
        <v>146</v>
      </c>
      <c r="M42" s="33">
        <f t="shared" si="4"/>
        <v>13278.2</v>
      </c>
      <c r="N42" s="12"/>
      <c r="O42" s="29"/>
      <c r="P42" s="15">
        <f t="shared" si="5"/>
        <v>0</v>
      </c>
      <c r="Q42" s="15"/>
    </row>
    <row r="43" ht="22.5" customHeight="1">
      <c r="A43" s="26">
        <v>53.0</v>
      </c>
      <c r="B43" s="12" t="str">
        <f>Usuarios!B54 &amp; " " &amp; Usuarios!C54 &amp; " " &amp; Usuarios!D54
</f>
        <v>Nicolas Andres  Cardenas Bustamante</v>
      </c>
      <c r="C43" s="26">
        <f t="array" ref="C43">INDEX('01-2025'!D:D,MATCH(INDEX(A:A, ROW()), '01-2025'!A:A, 0))</f>
        <v>0</v>
      </c>
      <c r="D43" s="27">
        <v>0.0</v>
      </c>
      <c r="E43" s="26">
        <f t="shared" si="1"/>
        <v>0</v>
      </c>
      <c r="F43" s="14">
        <v>1182.6</v>
      </c>
      <c r="G43" s="15">
        <f t="shared" si="2"/>
        <v>0</v>
      </c>
      <c r="H43" s="15">
        <v>5000.0</v>
      </c>
      <c r="I43" s="15">
        <f t="shared" si="3"/>
        <v>5000</v>
      </c>
      <c r="J43" s="16">
        <v>45724.0</v>
      </c>
      <c r="K43" s="12"/>
      <c r="L43" s="17" t="s">
        <v>146</v>
      </c>
      <c r="M43" s="33">
        <f t="shared" si="4"/>
        <v>5000</v>
      </c>
      <c r="N43" s="12"/>
      <c r="O43" s="29"/>
      <c r="P43" s="15">
        <f t="shared" si="5"/>
        <v>0</v>
      </c>
      <c r="Q43" s="15"/>
    </row>
    <row r="44" ht="22.5" customHeight="1">
      <c r="A44" s="26">
        <v>28.0</v>
      </c>
      <c r="B44" s="12" t="str">
        <f>Usuarios!B29 &amp; " " &amp; Usuarios!C29 &amp; " " &amp; Usuarios!D29
</f>
        <v>Nora  Ñanco </v>
      </c>
      <c r="C44" s="26">
        <f t="array" ref="C44">INDEX('01-2025'!D:D,MATCH(INDEX(A:A, ROW()), '01-2025'!A:A, 0))</f>
        <v>381</v>
      </c>
      <c r="D44" s="27">
        <v>400.0</v>
      </c>
      <c r="E44" s="26">
        <f t="shared" si="1"/>
        <v>19</v>
      </c>
      <c r="F44" s="14">
        <v>1182.6</v>
      </c>
      <c r="G44" s="15">
        <f t="shared" si="2"/>
        <v>22469.4</v>
      </c>
      <c r="H44" s="15">
        <v>5000.0</v>
      </c>
      <c r="I44" s="15">
        <f t="shared" si="3"/>
        <v>27469.4</v>
      </c>
      <c r="J44" s="16">
        <v>45724.0</v>
      </c>
      <c r="K44" s="12"/>
      <c r="L44" s="17" t="s">
        <v>146</v>
      </c>
      <c r="M44" s="33">
        <f t="shared" si="4"/>
        <v>27469.4</v>
      </c>
      <c r="N44" s="12"/>
      <c r="O44" s="29"/>
      <c r="P44" s="15">
        <f t="shared" si="5"/>
        <v>0</v>
      </c>
      <c r="Q44" s="15"/>
    </row>
    <row r="45" ht="22.5" customHeight="1">
      <c r="A45" s="26">
        <v>38.0</v>
      </c>
      <c r="B45" s="12" t="str">
        <f>Usuarios!B39 &amp; " " &amp; Usuarios!C39 &amp; " " &amp; Usuarios!D39
</f>
        <v>Norma  Sanchez </v>
      </c>
      <c r="C45" s="26">
        <f t="array" ref="C45">INDEX('01-2025'!D:D,MATCH(INDEX(A:A, ROW()), '01-2025'!A:A, 0))</f>
        <v>0</v>
      </c>
      <c r="D45" s="27">
        <v>0.0</v>
      </c>
      <c r="E45" s="26">
        <f t="shared" si="1"/>
        <v>0</v>
      </c>
      <c r="F45" s="14">
        <v>1182.6</v>
      </c>
      <c r="G45" s="15">
        <f t="shared" si="2"/>
        <v>0</v>
      </c>
      <c r="H45" s="15">
        <v>5000.0</v>
      </c>
      <c r="I45" s="15">
        <f t="shared" si="3"/>
        <v>5000</v>
      </c>
      <c r="J45" s="16">
        <v>45724.0</v>
      </c>
      <c r="K45" s="12"/>
      <c r="L45" s="17" t="s">
        <v>146</v>
      </c>
      <c r="M45" s="33">
        <f t="shared" si="4"/>
        <v>5000</v>
      </c>
      <c r="N45" s="12"/>
      <c r="O45" s="29"/>
      <c r="P45" s="15">
        <f t="shared" si="5"/>
        <v>0</v>
      </c>
      <c r="Q45" s="15"/>
    </row>
    <row r="46" ht="22.5" customHeight="1">
      <c r="A46" s="26">
        <v>47.0</v>
      </c>
      <c r="B46" s="12" t="str">
        <f>Usuarios!B48 &amp; " " &amp; Usuarios!C48 &amp; " " &amp; Usuarios!D48
</f>
        <v>Pablo  Contreras </v>
      </c>
      <c r="C46" s="26">
        <f t="array" ref="C46">INDEX('01-2025'!D:D,MATCH(INDEX(A:A, ROW()), '01-2025'!A:A, 0))</f>
        <v>0</v>
      </c>
      <c r="D46" s="27">
        <v>0.0</v>
      </c>
      <c r="E46" s="26">
        <f t="shared" si="1"/>
        <v>0</v>
      </c>
      <c r="F46" s="14">
        <v>1182.6</v>
      </c>
      <c r="G46" s="15">
        <f t="shared" si="2"/>
        <v>0</v>
      </c>
      <c r="H46" s="15">
        <v>5000.0</v>
      </c>
      <c r="I46" s="15">
        <f t="shared" si="3"/>
        <v>5000</v>
      </c>
      <c r="J46" s="16">
        <v>45724.0</v>
      </c>
      <c r="K46" s="12"/>
      <c r="L46" s="17" t="s">
        <v>146</v>
      </c>
      <c r="M46" s="33">
        <f t="shared" si="4"/>
        <v>5000</v>
      </c>
      <c r="N46" s="12"/>
      <c r="O46" s="29"/>
      <c r="P46" s="15">
        <f t="shared" si="5"/>
        <v>0</v>
      </c>
      <c r="Q46" s="15"/>
    </row>
    <row r="47" ht="22.5" customHeight="1">
      <c r="A47" s="26">
        <v>31.0</v>
      </c>
      <c r="B47" s="12" t="str">
        <f>Usuarios!B32 &amp; " " &amp; Usuarios!C32 &amp; " " &amp; Usuarios!D32
</f>
        <v>Patricia  Carcamo  Gonzales</v>
      </c>
      <c r="C47" s="26">
        <f t="array" ref="C47">INDEX('01-2025'!D:D,MATCH(INDEX(A:A, ROW()), '01-2025'!A:A, 0))</f>
        <v>113</v>
      </c>
      <c r="D47" s="27">
        <v>138.0</v>
      </c>
      <c r="E47" s="26">
        <f t="shared" si="1"/>
        <v>25</v>
      </c>
      <c r="F47" s="14">
        <v>1182.6</v>
      </c>
      <c r="G47" s="15">
        <f t="shared" si="2"/>
        <v>29565</v>
      </c>
      <c r="H47" s="15">
        <v>5000.0</v>
      </c>
      <c r="I47" s="15">
        <f t="shared" si="3"/>
        <v>34565</v>
      </c>
      <c r="J47" s="16">
        <v>45724.0</v>
      </c>
      <c r="K47" s="12"/>
      <c r="L47" s="17" t="s">
        <v>146</v>
      </c>
      <c r="M47" s="33">
        <f t="shared" si="4"/>
        <v>34565</v>
      </c>
      <c r="N47" s="12"/>
      <c r="O47" s="29"/>
      <c r="P47" s="15">
        <f t="shared" si="5"/>
        <v>0</v>
      </c>
      <c r="Q47" s="15"/>
    </row>
    <row r="48" ht="22.5" customHeight="1">
      <c r="A48" s="26">
        <v>37.0</v>
      </c>
      <c r="B48" s="12" t="str">
        <f>Usuarios!B38 &amp; " " &amp; Usuarios!C38 &amp; " " &amp; Usuarios!D38
</f>
        <v>Patricio Alvarez Mancilla</v>
      </c>
      <c r="C48" s="26">
        <f t="array" ref="C48">INDEX('01-2025'!D:D,MATCH(INDEX(A:A, ROW()), '01-2025'!A:A, 0))</f>
        <v>0</v>
      </c>
      <c r="D48" s="27">
        <v>0.0</v>
      </c>
      <c r="E48" s="26">
        <f t="shared" si="1"/>
        <v>0</v>
      </c>
      <c r="F48" s="14">
        <v>1182.6</v>
      </c>
      <c r="G48" s="15">
        <f t="shared" si="2"/>
        <v>0</v>
      </c>
      <c r="H48" s="15">
        <v>5000.0</v>
      </c>
      <c r="I48" s="15">
        <f t="shared" si="3"/>
        <v>5000</v>
      </c>
      <c r="J48" s="16">
        <v>45724.0</v>
      </c>
      <c r="K48" s="12"/>
      <c r="L48" s="32" t="s">
        <v>143</v>
      </c>
      <c r="M48" s="26">
        <f t="shared" si="4"/>
        <v>0</v>
      </c>
      <c r="N48" s="12"/>
      <c r="O48" s="29"/>
      <c r="P48" s="15">
        <f t="shared" si="5"/>
        <v>5000</v>
      </c>
      <c r="Q48" s="15"/>
    </row>
    <row r="49" ht="22.5" customHeight="1">
      <c r="A49" s="26">
        <v>27.0</v>
      </c>
      <c r="B49" s="12" t="str">
        <f>Usuarios!B28 &amp; " " &amp; Usuarios!C28 &amp; " " &amp; Usuarios!D28
</f>
        <v>Pedro  Almonacid </v>
      </c>
      <c r="C49" s="26">
        <f t="array" ref="C49">INDEX('01-2025'!D:D,MATCH(INDEX(A:A, ROW()), '01-2025'!A:A, 0))</f>
        <v>177</v>
      </c>
      <c r="D49" s="27">
        <v>189.0</v>
      </c>
      <c r="E49" s="26">
        <f t="shared" si="1"/>
        <v>12</v>
      </c>
      <c r="F49" s="14">
        <v>1182.6</v>
      </c>
      <c r="G49" s="15">
        <f t="shared" si="2"/>
        <v>14191.2</v>
      </c>
      <c r="H49" s="15">
        <v>5000.0</v>
      </c>
      <c r="I49" s="15">
        <f t="shared" si="3"/>
        <v>19191.2</v>
      </c>
      <c r="J49" s="16">
        <v>45724.0</v>
      </c>
      <c r="K49" s="12"/>
      <c r="L49" s="32" t="s">
        <v>143</v>
      </c>
      <c r="M49" s="26">
        <f t="shared" si="4"/>
        <v>0</v>
      </c>
      <c r="N49" s="12"/>
      <c r="O49" s="29"/>
      <c r="P49" s="15">
        <f t="shared" si="5"/>
        <v>19191.2</v>
      </c>
      <c r="Q49" s="15"/>
    </row>
    <row r="50" ht="22.5" customHeight="1">
      <c r="A50" s="26">
        <v>12.0</v>
      </c>
      <c r="B50" s="12" t="str">
        <f>Usuarios!B13 &amp; " " &amp; Usuarios!C13 &amp; " " &amp; Usuarios!D13
</f>
        <v>Pedro  Contreras </v>
      </c>
      <c r="C50" s="26">
        <f t="array" ref="C50">INDEX('01-2025'!D:D,MATCH(INDEX(A:A, ROW()), '01-2025'!A:A, 0))</f>
        <v>97</v>
      </c>
      <c r="D50" s="27">
        <v>103.0</v>
      </c>
      <c r="E50" s="26">
        <f t="shared" si="1"/>
        <v>6</v>
      </c>
      <c r="F50" s="14">
        <v>1182.6</v>
      </c>
      <c r="G50" s="15">
        <f t="shared" si="2"/>
        <v>7095.6</v>
      </c>
      <c r="H50" s="15">
        <v>5000.0</v>
      </c>
      <c r="I50" s="15">
        <f t="shared" si="3"/>
        <v>12095.6</v>
      </c>
      <c r="J50" s="16">
        <v>45724.0</v>
      </c>
      <c r="K50" s="12"/>
      <c r="L50" s="17" t="s">
        <v>146</v>
      </c>
      <c r="M50" s="33">
        <f t="shared" si="4"/>
        <v>12095.6</v>
      </c>
      <c r="N50" s="12"/>
      <c r="O50" s="29"/>
      <c r="P50" s="15">
        <f t="shared" si="5"/>
        <v>0</v>
      </c>
      <c r="Q50" s="15"/>
    </row>
    <row r="51" ht="22.5" customHeight="1">
      <c r="A51" s="26">
        <v>43.0</v>
      </c>
      <c r="B51" s="12" t="str">
        <f>Usuarios!B44 &amp; " " &amp; Usuarios!C44 &amp; " " &amp; Usuarios!D44
</f>
        <v>Ramon  Maldonado </v>
      </c>
      <c r="C51" s="26">
        <f t="array" ref="C51">INDEX('01-2025'!D:D,MATCH(INDEX(A:A, ROW()), '01-2025'!A:A, 0))</f>
        <v>0</v>
      </c>
      <c r="D51" s="27">
        <v>0.0</v>
      </c>
      <c r="E51" s="26">
        <f t="shared" si="1"/>
        <v>0</v>
      </c>
      <c r="F51" s="14">
        <v>1182.6</v>
      </c>
      <c r="G51" s="15">
        <f t="shared" si="2"/>
        <v>0</v>
      </c>
      <c r="H51" s="15">
        <v>5000.0</v>
      </c>
      <c r="I51" s="15">
        <f t="shared" si="3"/>
        <v>5000</v>
      </c>
      <c r="J51" s="16">
        <v>45724.0</v>
      </c>
      <c r="K51" s="12"/>
      <c r="L51" s="17" t="s">
        <v>146</v>
      </c>
      <c r="M51" s="33">
        <f t="shared" si="4"/>
        <v>5000</v>
      </c>
      <c r="N51" s="12"/>
      <c r="O51" s="29" t="s">
        <v>147</v>
      </c>
      <c r="P51" s="15">
        <f t="shared" si="5"/>
        <v>0</v>
      </c>
      <c r="Q51" s="15"/>
    </row>
    <row r="52" ht="22.5" customHeight="1">
      <c r="A52" s="26">
        <v>14.0</v>
      </c>
      <c r="B52" s="12" t="str">
        <f>Usuarios!B15 &amp; " " &amp; Usuarios!C15 &amp; " " &amp; Usuarios!D15
</f>
        <v>Ramona  Mansilla </v>
      </c>
      <c r="C52" s="26">
        <f t="array" ref="C52">INDEX('01-2025'!D:D,MATCH(INDEX(A:A, ROW()), '01-2025'!A:A, 0))</f>
        <v>40</v>
      </c>
      <c r="D52" s="27">
        <v>43.0</v>
      </c>
      <c r="E52" s="26">
        <f t="shared" si="1"/>
        <v>3</v>
      </c>
      <c r="F52" s="14">
        <v>1182.6</v>
      </c>
      <c r="G52" s="15">
        <f t="shared" si="2"/>
        <v>3547.8</v>
      </c>
      <c r="H52" s="15">
        <v>5000.0</v>
      </c>
      <c r="I52" s="15">
        <f t="shared" si="3"/>
        <v>8547.8</v>
      </c>
      <c r="J52" s="16">
        <v>45724.0</v>
      </c>
      <c r="K52" s="12"/>
      <c r="L52" s="17" t="s">
        <v>146</v>
      </c>
      <c r="M52" s="33">
        <f t="shared" si="4"/>
        <v>8547.8</v>
      </c>
      <c r="N52" s="12"/>
      <c r="O52" s="29"/>
      <c r="P52" s="15">
        <f t="shared" si="5"/>
        <v>0</v>
      </c>
      <c r="Q52" s="15"/>
    </row>
    <row r="53" ht="22.5" customHeight="1">
      <c r="A53" s="26">
        <v>54.0</v>
      </c>
      <c r="B53" s="12" t="str">
        <f>Usuarios!B55 &amp; " " &amp; Usuarios!C55 &amp; " " &amp; Usuarios!D55
</f>
        <v>Rosa  Mancilla </v>
      </c>
      <c r="C53" s="26">
        <f t="array" ref="C53">INDEX('01-2025'!D:D,MATCH(INDEX(A:A, ROW()), '01-2025'!A:A, 0))</f>
        <v>106</v>
      </c>
      <c r="D53" s="27">
        <v>106.0</v>
      </c>
      <c r="E53" s="26">
        <f t="shared" si="1"/>
        <v>0</v>
      </c>
      <c r="F53" s="14">
        <v>1182.6</v>
      </c>
      <c r="G53" s="15">
        <f t="shared" si="2"/>
        <v>0</v>
      </c>
      <c r="H53" s="15">
        <v>5000.0</v>
      </c>
      <c r="I53" s="15">
        <f t="shared" si="3"/>
        <v>5000</v>
      </c>
      <c r="J53" s="16">
        <v>45724.0</v>
      </c>
      <c r="K53" s="12"/>
      <c r="L53" s="32" t="s">
        <v>143</v>
      </c>
      <c r="M53" s="26">
        <f t="shared" si="4"/>
        <v>0</v>
      </c>
      <c r="N53" s="12"/>
      <c r="O53" s="29"/>
      <c r="P53" s="15">
        <f t="shared" si="5"/>
        <v>5000</v>
      </c>
      <c r="Q53" s="15"/>
    </row>
    <row r="54" ht="22.5" customHeight="1">
      <c r="A54" s="26">
        <v>49.0</v>
      </c>
      <c r="B54" s="12" t="str">
        <f>Usuarios!B50 &amp; " " &amp; Usuarios!C50 &amp; " " &amp; Usuarios!D50
</f>
        <v>Rosa  Nuñez </v>
      </c>
      <c r="C54" s="26">
        <f t="array" ref="C54">INDEX('01-2025'!D:D,MATCH(INDEX(A:A, ROW()), '01-2025'!A:A, 0))</f>
        <v>70</v>
      </c>
      <c r="D54" s="27">
        <v>76.0</v>
      </c>
      <c r="E54" s="26">
        <f t="shared" si="1"/>
        <v>6</v>
      </c>
      <c r="F54" s="14">
        <v>1182.6</v>
      </c>
      <c r="G54" s="15">
        <f t="shared" si="2"/>
        <v>7095.6</v>
      </c>
      <c r="H54" s="15">
        <v>5000.0</v>
      </c>
      <c r="I54" s="15">
        <f t="shared" si="3"/>
        <v>12095.6</v>
      </c>
      <c r="J54" s="16">
        <v>45724.0</v>
      </c>
      <c r="K54" s="12"/>
      <c r="L54" s="32" t="s">
        <v>143</v>
      </c>
      <c r="M54" s="26">
        <f t="shared" si="4"/>
        <v>0</v>
      </c>
      <c r="N54" s="12"/>
      <c r="O54" s="29"/>
      <c r="P54" s="15">
        <f t="shared" si="5"/>
        <v>12095.6</v>
      </c>
      <c r="Q54" s="15"/>
    </row>
    <row r="55" ht="22.5" customHeight="1">
      <c r="A55" s="26">
        <v>15.0</v>
      </c>
      <c r="B55" s="12" t="str">
        <f>Usuarios!B16 &amp; " " &amp; Usuarios!C16 &amp; " " &amp; Usuarios!D16
</f>
        <v>Sandra Mancilla  Merino</v>
      </c>
      <c r="C55" s="26">
        <f t="array" ref="C55">INDEX('01-2025'!D:D,MATCH(INDEX(A:A, ROW()), '01-2025'!A:A, 0))</f>
        <v>116</v>
      </c>
      <c r="D55" s="27">
        <v>127.0</v>
      </c>
      <c r="E55" s="26">
        <f t="shared" si="1"/>
        <v>11</v>
      </c>
      <c r="F55" s="14">
        <v>1182.6</v>
      </c>
      <c r="G55" s="15">
        <f t="shared" si="2"/>
        <v>13008.6</v>
      </c>
      <c r="H55" s="15">
        <v>5000.0</v>
      </c>
      <c r="I55" s="15">
        <f t="shared" si="3"/>
        <v>18008.6</v>
      </c>
      <c r="J55" s="16">
        <v>45724.0</v>
      </c>
      <c r="K55" s="12"/>
      <c r="L55" s="32" t="s">
        <v>143</v>
      </c>
      <c r="M55" s="26">
        <f t="shared" si="4"/>
        <v>0</v>
      </c>
      <c r="N55" s="12"/>
      <c r="O55" s="29"/>
      <c r="P55" s="15">
        <f t="shared" si="5"/>
        <v>18008.6</v>
      </c>
      <c r="Q55" s="15"/>
    </row>
    <row r="56" ht="22.5" customHeight="1">
      <c r="A56" s="26">
        <v>34.0</v>
      </c>
      <c r="B56" s="12" t="str">
        <f>Usuarios!B35 &amp; " " &amp; Usuarios!C35 &amp; " " &amp; Usuarios!D35
</f>
        <v>Vanesa  Aguilar </v>
      </c>
      <c r="C56" s="26">
        <f t="array" ref="C56">INDEX('01-2025'!D:D,MATCH(INDEX(A:A, ROW()), '01-2025'!A:A, 0))</f>
        <v>452</v>
      </c>
      <c r="D56" s="27">
        <v>487.0</v>
      </c>
      <c r="E56" s="26">
        <f t="shared" si="1"/>
        <v>35</v>
      </c>
      <c r="F56" s="14">
        <v>1182.6</v>
      </c>
      <c r="G56" s="15">
        <f t="shared" si="2"/>
        <v>41391</v>
      </c>
      <c r="H56" s="15">
        <v>5000.0</v>
      </c>
      <c r="I56" s="15">
        <f t="shared" si="3"/>
        <v>46391</v>
      </c>
      <c r="J56" s="16">
        <v>45724.0</v>
      </c>
      <c r="K56" s="12"/>
      <c r="L56" s="32" t="s">
        <v>143</v>
      </c>
      <c r="M56" s="26">
        <f t="shared" si="4"/>
        <v>0</v>
      </c>
      <c r="N56" s="12"/>
      <c r="O56" s="29"/>
      <c r="P56" s="15">
        <f t="shared" si="5"/>
        <v>46391</v>
      </c>
      <c r="Q56" s="15"/>
    </row>
    <row r="57" ht="22.5" customHeight="1">
      <c r="A57" s="26">
        <v>22.0</v>
      </c>
      <c r="B57" s="12" t="str">
        <f>Usuarios!B23 &amp; " " &amp; Usuarios!C23 &amp; " " &amp; Usuarios!D23
</f>
        <v>Yuri  Millaquen </v>
      </c>
      <c r="C57" s="26">
        <f t="array" ref="C57">INDEX('01-2025'!D:D,MATCH(INDEX(A:A, ROW()), '01-2025'!A:A, 0))</f>
        <v>130</v>
      </c>
      <c r="D57" s="27">
        <v>142.0</v>
      </c>
      <c r="E57" s="26">
        <f t="shared" si="1"/>
        <v>12</v>
      </c>
      <c r="F57" s="14">
        <v>1182.6</v>
      </c>
      <c r="G57" s="15">
        <f t="shared" si="2"/>
        <v>14191.2</v>
      </c>
      <c r="H57" s="15">
        <v>5000.0</v>
      </c>
      <c r="I57" s="15">
        <f t="shared" si="3"/>
        <v>19191.2</v>
      </c>
      <c r="J57" s="16">
        <v>45724.0</v>
      </c>
      <c r="K57" s="12"/>
      <c r="L57" s="17" t="s">
        <v>146</v>
      </c>
      <c r="M57" s="33">
        <f t="shared" si="4"/>
        <v>19191.2</v>
      </c>
      <c r="N57" s="12"/>
      <c r="O57" s="29"/>
      <c r="P57" s="15">
        <f t="shared" si="5"/>
        <v>0</v>
      </c>
      <c r="Q57" s="15"/>
    </row>
    <row r="58" ht="22.5" customHeight="1">
      <c r="A58" s="34"/>
      <c r="B58" s="34"/>
      <c r="C58" s="34"/>
      <c r="D58" s="34"/>
      <c r="E58" s="34"/>
      <c r="F58" s="21"/>
      <c r="G58" s="22"/>
      <c r="H58" s="22"/>
      <c r="I58" s="22"/>
      <c r="J58" s="25"/>
      <c r="K58" s="25"/>
      <c r="L58" s="24"/>
      <c r="M58" s="25"/>
      <c r="N58" s="25"/>
      <c r="O58" s="35"/>
      <c r="P58" s="22"/>
      <c r="Q58" s="22"/>
    </row>
  </sheetData>
  <conditionalFormatting sqref="Q2:Q57">
    <cfRule type="containsText" dxfId="8" priority="1" operator="containsText" text="NO APLICA">
      <formula>NOT(ISERROR(SEARCH(("NO APLICA"),(Q2))))</formula>
    </cfRule>
  </conditionalFormatting>
  <conditionalFormatting sqref="Q2:Q57">
    <cfRule type="containsText" dxfId="8" priority="2" operator="containsText" text="NO APLICA">
      <formula>NOT(ISERROR(SEARCH(("NO APLICA"),(Q2))))</formula>
    </cfRule>
  </conditionalFormatting>
  <conditionalFormatting sqref="L2:L58">
    <cfRule type="containsText" dxfId="6" priority="3" operator="containsText" text="PENDIENTE">
      <formula>NOT(ISERROR(SEARCH(("PENDIENTE"),(L2))))</formula>
    </cfRule>
  </conditionalFormatting>
  <conditionalFormatting sqref="L2:L58">
    <cfRule type="containsText" dxfId="7" priority="4" operator="containsText" text="PAGADO">
      <formula>NOT(ISERROR(SEARCH(("PAGADO"),(L2))))</formula>
    </cfRule>
  </conditionalFormatting>
  <dataValidations>
    <dataValidation type="custom" allowBlank="1" showDropDown="1" sqref="F2:I58 P2:P58">
      <formula1>AND(ISNUMBER(F2),(NOT(OR(NOT(ISERROR(DATEVALUE(F2))), AND(ISNUMBER(F2), LEFT(CELL("format", F2))="D")))))</formula1>
    </dataValidation>
    <dataValidation type="list" allowBlank="1" sqref="L2:L58">
      <formula1>"PENDIENTE,PAGADO,VENCIDO,PARCIAL,NO APLICA"</formula1>
    </dataValidation>
    <dataValidation type="list" allowBlank="1" sqref="O2:O58">
      <formula1>"EFECTIVO,TRANSFERENCIA,CHEQUE,TARJETA"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3.29"/>
    <col customWidth="1" min="3" max="3" width="21.0"/>
    <col customWidth="1" min="4" max="4" width="19.29"/>
    <col customWidth="1" min="5" max="5" width="18.29"/>
    <col customWidth="1" min="6" max="6" width="14.86"/>
    <col customWidth="1" min="7" max="7" width="22.86"/>
    <col customWidth="1" min="8" max="8" width="15.43"/>
    <col customWidth="1" min="9" max="9" width="18.0"/>
    <col customWidth="1" min="10" max="10" width="18.71"/>
    <col customWidth="1" min="11" max="11" width="23.29"/>
    <col customWidth="1" min="12" max="12" width="21.14"/>
    <col customWidth="1" min="13" max="13" width="19.57"/>
    <col customWidth="1" min="14" max="14" width="16.57"/>
    <col customWidth="1" min="15" max="15" width="20.86"/>
    <col customWidth="1" min="16" max="16" width="29.71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26">
        <v>1.0</v>
      </c>
      <c r="B2" s="12" t="str">
        <f>Usuarios!B2 &amp; " " &amp; Usuarios!C2 &amp; " " &amp; Usuarios!D2
</f>
        <v>Nancy Zuñiga Villarroel</v>
      </c>
      <c r="C2" s="26">
        <f t="shared" ref="C2:C21" si="1">INDEX(INDIRECT("'" &amp; TEXT(EDATE(J2,-2),"mm-yyyy") &amp; "'!D:D"),
   MATCH(A2,INDIRECT("'" &amp; TEXT(EDATE(J2,-2),"mm-yyyy") &amp; "'!A:A"),0))
</f>
        <v>179</v>
      </c>
      <c r="D2" s="27">
        <v>193.0</v>
      </c>
      <c r="E2" s="26">
        <f t="shared" ref="E2:E21" si="2">D2-C2</f>
        <v>14</v>
      </c>
      <c r="F2" s="26">
        <v>1182.6</v>
      </c>
      <c r="G2" s="26">
        <f t="shared" ref="G2:G21" si="3">E2*F2</f>
        <v>16556.4</v>
      </c>
      <c r="H2" s="26">
        <v>5000.0</v>
      </c>
      <c r="I2" s="26">
        <f t="shared" ref="I2:I21" si="4">E2*F2+H2</f>
        <v>21556.4</v>
      </c>
      <c r="J2" s="16">
        <v>45755.0</v>
      </c>
      <c r="K2" s="12"/>
      <c r="L2" s="17" t="s">
        <v>146</v>
      </c>
      <c r="M2" s="26">
        <f t="shared" ref="M2:M21" si="5">IF(L2="Pagado", I2, 0)</f>
        <v>21556.4</v>
      </c>
      <c r="N2" s="12"/>
      <c r="O2" s="29"/>
      <c r="P2" s="15">
        <f t="shared" ref="P2:P21" si="6">IF(L2="NO APLICA",0, (I2-M2))</f>
        <v>0</v>
      </c>
      <c r="Q2" s="15"/>
    </row>
    <row r="3" ht="22.5" customHeight="1">
      <c r="A3" s="26">
        <v>2.0</v>
      </c>
      <c r="B3" s="12" t="str">
        <f>Usuarios!B3 &amp; " " &amp; Usuarios!C3 &amp; " " &amp; Usuarios!D3
</f>
        <v>Gabriel Barria Zuñiga</v>
      </c>
      <c r="C3" s="26">
        <f t="shared" si="1"/>
        <v>270</v>
      </c>
      <c r="D3" s="27">
        <v>292.0</v>
      </c>
      <c r="E3" s="26">
        <f t="shared" si="2"/>
        <v>22</v>
      </c>
      <c r="F3" s="26">
        <v>1182.6</v>
      </c>
      <c r="G3" s="26">
        <f t="shared" si="3"/>
        <v>26017.2</v>
      </c>
      <c r="H3" s="26">
        <v>5000.0</v>
      </c>
      <c r="I3" s="26">
        <f t="shared" si="4"/>
        <v>31017.2</v>
      </c>
      <c r="J3" s="16">
        <v>45755.0</v>
      </c>
      <c r="K3" s="12"/>
      <c r="L3" s="17" t="s">
        <v>146</v>
      </c>
      <c r="M3" s="26">
        <f t="shared" si="5"/>
        <v>31017.2</v>
      </c>
      <c r="N3" s="12"/>
      <c r="O3" s="29"/>
      <c r="P3" s="15">
        <f t="shared" si="6"/>
        <v>0</v>
      </c>
      <c r="Q3" s="15"/>
    </row>
    <row r="4" ht="22.5" customHeight="1">
      <c r="A4" s="26">
        <v>3.0</v>
      </c>
      <c r="B4" s="12" t="str">
        <f>Usuarios!B4 &amp; " " &amp; Usuarios!C4 &amp; " " &amp; Usuarios!D4
</f>
        <v>Gino  Reyes </v>
      </c>
      <c r="C4" s="26">
        <f t="shared" si="1"/>
        <v>60</v>
      </c>
      <c r="D4" s="27">
        <v>66.0</v>
      </c>
      <c r="E4" s="26">
        <f t="shared" si="2"/>
        <v>6</v>
      </c>
      <c r="F4" s="26">
        <v>1182.6</v>
      </c>
      <c r="G4" s="26">
        <f t="shared" si="3"/>
        <v>7095.6</v>
      </c>
      <c r="H4" s="26">
        <v>5000.0</v>
      </c>
      <c r="I4" s="26">
        <f t="shared" si="4"/>
        <v>12095.6</v>
      </c>
      <c r="J4" s="16">
        <v>45755.0</v>
      </c>
      <c r="K4" s="12"/>
      <c r="L4" s="29" t="s">
        <v>143</v>
      </c>
      <c r="M4" s="26">
        <f t="shared" si="5"/>
        <v>0</v>
      </c>
      <c r="N4" s="12"/>
      <c r="O4" s="29"/>
      <c r="P4" s="15">
        <f t="shared" si="6"/>
        <v>12095.6</v>
      </c>
      <c r="Q4" s="15"/>
    </row>
    <row r="5" ht="22.5" customHeight="1">
      <c r="A5" s="26">
        <v>4.0</v>
      </c>
      <c r="B5" s="12" t="str">
        <f>Usuarios!B5 &amp; " " &amp; Usuarios!C5 &amp; " " &amp; Usuarios!D5
</f>
        <v>Cristian  Oyarzo </v>
      </c>
      <c r="C5" s="26">
        <f t="shared" si="1"/>
        <v>455</v>
      </c>
      <c r="D5" s="27">
        <v>493.0</v>
      </c>
      <c r="E5" s="26">
        <f t="shared" si="2"/>
        <v>38</v>
      </c>
      <c r="F5" s="26">
        <v>1182.6</v>
      </c>
      <c r="G5" s="26">
        <f t="shared" si="3"/>
        <v>44938.8</v>
      </c>
      <c r="H5" s="26">
        <v>5000.0</v>
      </c>
      <c r="I5" s="26">
        <f t="shared" si="4"/>
        <v>49938.8</v>
      </c>
      <c r="J5" s="16">
        <v>45755.0</v>
      </c>
      <c r="K5" s="12"/>
      <c r="L5" s="17" t="s">
        <v>146</v>
      </c>
      <c r="M5" s="26">
        <f t="shared" si="5"/>
        <v>49938.8</v>
      </c>
      <c r="N5" s="12"/>
      <c r="O5" s="29"/>
      <c r="P5" s="15">
        <f t="shared" si="6"/>
        <v>0</v>
      </c>
      <c r="Q5" s="15"/>
    </row>
    <row r="6" ht="22.5" customHeight="1">
      <c r="A6" s="26">
        <v>5.0</v>
      </c>
      <c r="B6" s="12" t="str">
        <f>Usuarios!B6 &amp; " " &amp; Usuarios!C6 &amp; " " &amp; Usuarios!D6
</f>
        <v>Marisol  Castro </v>
      </c>
      <c r="C6" s="26">
        <f t="shared" si="1"/>
        <v>96</v>
      </c>
      <c r="D6" s="27">
        <v>105.0</v>
      </c>
      <c r="E6" s="26">
        <f t="shared" si="2"/>
        <v>9</v>
      </c>
      <c r="F6" s="26">
        <v>1182.6</v>
      </c>
      <c r="G6" s="26">
        <f t="shared" si="3"/>
        <v>10643.4</v>
      </c>
      <c r="H6" s="26">
        <v>5000.0</v>
      </c>
      <c r="I6" s="26">
        <f t="shared" si="4"/>
        <v>15643.4</v>
      </c>
      <c r="J6" s="16">
        <v>45755.0</v>
      </c>
      <c r="K6" s="12"/>
      <c r="L6" s="17" t="s">
        <v>146</v>
      </c>
      <c r="M6" s="26">
        <f t="shared" si="5"/>
        <v>15643.4</v>
      </c>
      <c r="N6" s="12"/>
      <c r="O6" s="29"/>
      <c r="P6" s="15">
        <f t="shared" si="6"/>
        <v>0</v>
      </c>
      <c r="Q6" s="15"/>
    </row>
    <row r="7" ht="22.5" customHeight="1">
      <c r="A7" s="26">
        <v>6.0</v>
      </c>
      <c r="B7" s="12" t="str">
        <f>Usuarios!B7 &amp; " " &amp; Usuarios!C7 &amp; " " &amp; Usuarios!D7
</f>
        <v>Mauricio  Muñoz </v>
      </c>
      <c r="C7" s="26">
        <f t="shared" si="1"/>
        <v>188</v>
      </c>
      <c r="D7" s="27">
        <v>198.0</v>
      </c>
      <c r="E7" s="26">
        <f t="shared" si="2"/>
        <v>10</v>
      </c>
      <c r="F7" s="26">
        <v>1182.6</v>
      </c>
      <c r="G7" s="26">
        <f t="shared" si="3"/>
        <v>11826</v>
      </c>
      <c r="H7" s="26">
        <v>5000.0</v>
      </c>
      <c r="I7" s="26">
        <f t="shared" si="4"/>
        <v>16826</v>
      </c>
      <c r="J7" s="16">
        <v>45755.0</v>
      </c>
      <c r="K7" s="12"/>
      <c r="L7" s="17" t="s">
        <v>146</v>
      </c>
      <c r="M7" s="26">
        <f t="shared" si="5"/>
        <v>16826</v>
      </c>
      <c r="N7" s="12"/>
      <c r="O7" s="29"/>
      <c r="P7" s="15">
        <f t="shared" si="6"/>
        <v>0</v>
      </c>
      <c r="Q7" s="15"/>
    </row>
    <row r="8" ht="22.5" customHeight="1">
      <c r="A8" s="26">
        <v>7.0</v>
      </c>
      <c r="B8" s="12" t="str">
        <f>Usuarios!B8 &amp; " " &amp; Usuarios!C8 &amp; " " &amp; Usuarios!D8
</f>
        <v>Marcelo  Millanao </v>
      </c>
      <c r="C8" s="26">
        <f t="shared" si="1"/>
        <v>224</v>
      </c>
      <c r="D8" s="27">
        <v>238.0</v>
      </c>
      <c r="E8" s="26">
        <f t="shared" si="2"/>
        <v>14</v>
      </c>
      <c r="F8" s="26">
        <v>1182.6</v>
      </c>
      <c r="G8" s="26">
        <f t="shared" si="3"/>
        <v>16556.4</v>
      </c>
      <c r="H8" s="26">
        <v>5000.0</v>
      </c>
      <c r="I8" s="26">
        <f t="shared" si="4"/>
        <v>21556.4</v>
      </c>
      <c r="J8" s="16">
        <v>45755.0</v>
      </c>
      <c r="K8" s="12"/>
      <c r="L8" s="17" t="s">
        <v>146</v>
      </c>
      <c r="M8" s="26">
        <f t="shared" si="5"/>
        <v>21556.4</v>
      </c>
      <c r="N8" s="12"/>
      <c r="O8" s="29"/>
      <c r="P8" s="15">
        <f t="shared" si="6"/>
        <v>0</v>
      </c>
      <c r="Q8" s="15"/>
    </row>
    <row r="9" ht="22.5" customHeight="1">
      <c r="A9" s="26">
        <v>8.0</v>
      </c>
      <c r="B9" s="12" t="str">
        <f>Usuarios!B9 &amp; " " &amp; Usuarios!C9 &amp; " " &amp; Usuarios!D9
</f>
        <v>Gabriel  Farias </v>
      </c>
      <c r="C9" s="26">
        <f t="shared" si="1"/>
        <v>399</v>
      </c>
      <c r="D9" s="27">
        <v>432.0</v>
      </c>
      <c r="E9" s="26">
        <f t="shared" si="2"/>
        <v>33</v>
      </c>
      <c r="F9" s="26">
        <v>1182.6</v>
      </c>
      <c r="G9" s="26">
        <f t="shared" si="3"/>
        <v>39025.8</v>
      </c>
      <c r="H9" s="26">
        <v>5000.0</v>
      </c>
      <c r="I9" s="26">
        <f t="shared" si="4"/>
        <v>44025.8</v>
      </c>
      <c r="J9" s="16">
        <v>45755.0</v>
      </c>
      <c r="K9" s="12"/>
      <c r="L9" s="17" t="s">
        <v>146</v>
      </c>
      <c r="M9" s="26">
        <f t="shared" si="5"/>
        <v>44025.8</v>
      </c>
      <c r="N9" s="12"/>
      <c r="O9" s="29"/>
      <c r="P9" s="15">
        <f t="shared" si="6"/>
        <v>0</v>
      </c>
      <c r="Q9" s="15"/>
    </row>
    <row r="10" ht="22.5" customHeight="1">
      <c r="A10" s="26">
        <v>9.0</v>
      </c>
      <c r="B10" s="12" t="str">
        <f>Usuarios!B10 &amp; " " &amp; Usuarios!C10 &amp; " " &amp; Usuarios!D10
</f>
        <v>Maria  Marin </v>
      </c>
      <c r="C10" s="26">
        <f t="shared" si="1"/>
        <v>153</v>
      </c>
      <c r="D10" s="27">
        <v>177.0</v>
      </c>
      <c r="E10" s="26">
        <f t="shared" si="2"/>
        <v>24</v>
      </c>
      <c r="F10" s="26">
        <v>1182.6</v>
      </c>
      <c r="G10" s="26">
        <f t="shared" si="3"/>
        <v>28382.4</v>
      </c>
      <c r="H10" s="26">
        <v>5000.0</v>
      </c>
      <c r="I10" s="26">
        <f t="shared" si="4"/>
        <v>33382.4</v>
      </c>
      <c r="J10" s="16">
        <v>45755.0</v>
      </c>
      <c r="K10" s="12"/>
      <c r="L10" s="17" t="s">
        <v>146</v>
      </c>
      <c r="M10" s="26">
        <f t="shared" si="5"/>
        <v>33382.4</v>
      </c>
      <c r="N10" s="12"/>
      <c r="O10" s="29"/>
      <c r="P10" s="15">
        <f t="shared" si="6"/>
        <v>0</v>
      </c>
      <c r="Q10" s="15"/>
    </row>
    <row r="11" ht="22.5" customHeight="1">
      <c r="A11" s="26">
        <v>10.0</v>
      </c>
      <c r="B11" s="12" t="str">
        <f>Usuarios!B11 &amp; " " &amp; Usuarios!C11 &amp; " " &amp; Usuarios!D11
</f>
        <v>David  Cartes </v>
      </c>
      <c r="C11" s="26">
        <f t="shared" si="1"/>
        <v>104</v>
      </c>
      <c r="D11" s="27">
        <v>112.0</v>
      </c>
      <c r="E11" s="26">
        <f t="shared" si="2"/>
        <v>8</v>
      </c>
      <c r="F11" s="26">
        <v>1182.6</v>
      </c>
      <c r="G11" s="26">
        <f t="shared" si="3"/>
        <v>9460.8</v>
      </c>
      <c r="H11" s="26">
        <v>5000.0</v>
      </c>
      <c r="I11" s="26">
        <f t="shared" si="4"/>
        <v>14460.8</v>
      </c>
      <c r="J11" s="16">
        <v>45755.0</v>
      </c>
      <c r="K11" s="12"/>
      <c r="L11" s="17" t="s">
        <v>146</v>
      </c>
      <c r="M11" s="26">
        <f t="shared" si="5"/>
        <v>14460.8</v>
      </c>
      <c r="N11" s="12"/>
      <c r="O11" s="29"/>
      <c r="P11" s="15">
        <f t="shared" si="6"/>
        <v>0</v>
      </c>
      <c r="Q11" s="15"/>
    </row>
    <row r="12" ht="22.5" customHeight="1">
      <c r="A12" s="26">
        <v>11.0</v>
      </c>
      <c r="B12" s="12" t="str">
        <f>Usuarios!B12 &amp; " " &amp; Usuarios!C12 &amp; " " &amp; Usuarios!D12
</f>
        <v>Miguel  Ñanco </v>
      </c>
      <c r="C12" s="26">
        <f t="shared" si="1"/>
        <v>216</v>
      </c>
      <c r="D12" s="27">
        <v>240.0</v>
      </c>
      <c r="E12" s="26">
        <f t="shared" si="2"/>
        <v>24</v>
      </c>
      <c r="F12" s="26">
        <v>1182.6</v>
      </c>
      <c r="G12" s="26">
        <f t="shared" si="3"/>
        <v>28382.4</v>
      </c>
      <c r="H12" s="26">
        <v>5000.0</v>
      </c>
      <c r="I12" s="26">
        <f t="shared" si="4"/>
        <v>33382.4</v>
      </c>
      <c r="J12" s="16">
        <v>45755.0</v>
      </c>
      <c r="K12" s="12"/>
      <c r="L12" s="17" t="s">
        <v>146</v>
      </c>
      <c r="M12" s="26">
        <f t="shared" si="5"/>
        <v>33382.4</v>
      </c>
      <c r="N12" s="12"/>
      <c r="O12" s="29"/>
      <c r="P12" s="15">
        <f t="shared" si="6"/>
        <v>0</v>
      </c>
      <c r="Q12" s="15"/>
    </row>
    <row r="13" ht="22.5" customHeight="1">
      <c r="A13" s="26">
        <v>12.0</v>
      </c>
      <c r="B13" s="12" t="str">
        <f>Usuarios!B13 &amp; " " &amp; Usuarios!C13 &amp; " " &amp; Usuarios!D13
</f>
        <v>Pedro  Contreras </v>
      </c>
      <c r="C13" s="26">
        <f t="shared" si="1"/>
        <v>103</v>
      </c>
      <c r="D13" s="27">
        <v>109.0</v>
      </c>
      <c r="E13" s="26">
        <f t="shared" si="2"/>
        <v>6</v>
      </c>
      <c r="F13" s="26">
        <v>1182.6</v>
      </c>
      <c r="G13" s="26">
        <f t="shared" si="3"/>
        <v>7095.6</v>
      </c>
      <c r="H13" s="26">
        <v>5000.0</v>
      </c>
      <c r="I13" s="26">
        <f t="shared" si="4"/>
        <v>12095.6</v>
      </c>
      <c r="J13" s="16">
        <v>45755.0</v>
      </c>
      <c r="K13" s="12"/>
      <c r="L13" s="29" t="s">
        <v>143</v>
      </c>
      <c r="M13" s="26">
        <f t="shared" si="5"/>
        <v>0</v>
      </c>
      <c r="N13" s="12"/>
      <c r="O13" s="29"/>
      <c r="P13" s="15">
        <f t="shared" si="6"/>
        <v>12095.6</v>
      </c>
      <c r="Q13" s="15"/>
    </row>
    <row r="14" ht="22.5" customHeight="1">
      <c r="A14" s="26">
        <v>13.0</v>
      </c>
      <c r="B14" s="12" t="str">
        <f>Usuarios!B14 &amp; " " &amp; Usuarios!C14 &amp; " " &amp; Usuarios!D14
</f>
        <v>Carlos  Gamin </v>
      </c>
      <c r="C14" s="26">
        <f t="shared" si="1"/>
        <v>171</v>
      </c>
      <c r="D14" s="27">
        <v>183.0</v>
      </c>
      <c r="E14" s="26">
        <f t="shared" si="2"/>
        <v>12</v>
      </c>
      <c r="F14" s="26">
        <v>1182.6</v>
      </c>
      <c r="G14" s="26">
        <f t="shared" si="3"/>
        <v>14191.2</v>
      </c>
      <c r="H14" s="26">
        <v>5000.0</v>
      </c>
      <c r="I14" s="26">
        <f t="shared" si="4"/>
        <v>19191.2</v>
      </c>
      <c r="J14" s="16">
        <v>45755.0</v>
      </c>
      <c r="K14" s="12"/>
      <c r="L14" s="29" t="s">
        <v>143</v>
      </c>
      <c r="M14" s="26">
        <f t="shared" si="5"/>
        <v>0</v>
      </c>
      <c r="N14" s="12"/>
      <c r="O14" s="29"/>
      <c r="P14" s="15">
        <f t="shared" si="6"/>
        <v>19191.2</v>
      </c>
      <c r="Q14" s="15"/>
    </row>
    <row r="15" ht="22.5" customHeight="1">
      <c r="A15" s="26">
        <v>14.0</v>
      </c>
      <c r="B15" s="12" t="str">
        <f>Usuarios!B15 &amp; " " &amp; Usuarios!C15 &amp; " " &amp; Usuarios!D15
</f>
        <v>Ramona  Mansilla </v>
      </c>
      <c r="C15" s="26">
        <f t="shared" si="1"/>
        <v>43</v>
      </c>
      <c r="D15" s="27">
        <v>48.0</v>
      </c>
      <c r="E15" s="26">
        <f t="shared" si="2"/>
        <v>5</v>
      </c>
      <c r="F15" s="26">
        <v>1182.6</v>
      </c>
      <c r="G15" s="26">
        <f t="shared" si="3"/>
        <v>5913</v>
      </c>
      <c r="H15" s="26">
        <v>5000.0</v>
      </c>
      <c r="I15" s="26">
        <f t="shared" si="4"/>
        <v>10913</v>
      </c>
      <c r="J15" s="16">
        <v>45755.0</v>
      </c>
      <c r="K15" s="12"/>
      <c r="L15" s="17" t="s">
        <v>146</v>
      </c>
      <c r="M15" s="26">
        <f t="shared" si="5"/>
        <v>10913</v>
      </c>
      <c r="N15" s="12"/>
      <c r="O15" s="29"/>
      <c r="P15" s="15">
        <f t="shared" si="6"/>
        <v>0</v>
      </c>
      <c r="Q15" s="15"/>
    </row>
    <row r="16" ht="22.5" customHeight="1">
      <c r="A16" s="26">
        <v>15.0</v>
      </c>
      <c r="B16" s="12" t="str">
        <f>Usuarios!B16 &amp; " " &amp; Usuarios!C16 &amp; " " &amp; Usuarios!D16
</f>
        <v>Sandra Mancilla  Merino</v>
      </c>
      <c r="C16" s="26">
        <f t="shared" si="1"/>
        <v>127</v>
      </c>
      <c r="D16" s="27">
        <v>137.0</v>
      </c>
      <c r="E16" s="26">
        <f t="shared" si="2"/>
        <v>10</v>
      </c>
      <c r="F16" s="26">
        <v>1182.6</v>
      </c>
      <c r="G16" s="26">
        <f t="shared" si="3"/>
        <v>11826</v>
      </c>
      <c r="H16" s="26">
        <v>5000.0</v>
      </c>
      <c r="I16" s="26">
        <f t="shared" si="4"/>
        <v>16826</v>
      </c>
      <c r="J16" s="16">
        <v>45755.0</v>
      </c>
      <c r="K16" s="12"/>
      <c r="L16" s="29" t="s">
        <v>143</v>
      </c>
      <c r="M16" s="26">
        <f t="shared" si="5"/>
        <v>0</v>
      </c>
      <c r="N16" s="12"/>
      <c r="O16" s="29"/>
      <c r="P16" s="15">
        <f t="shared" si="6"/>
        <v>16826</v>
      </c>
      <c r="Q16" s="15"/>
    </row>
    <row r="17" ht="22.5" customHeight="1">
      <c r="A17" s="26">
        <v>16.0</v>
      </c>
      <c r="B17" s="12" t="str">
        <f>Usuarios!B17 &amp; " " &amp; Usuarios!C17 &amp; " " &amp; Usuarios!D17
</f>
        <v>Carlos  Agüero </v>
      </c>
      <c r="C17" s="26">
        <f t="shared" si="1"/>
        <v>161</v>
      </c>
      <c r="D17" s="27">
        <v>176.0</v>
      </c>
      <c r="E17" s="26">
        <f t="shared" si="2"/>
        <v>15</v>
      </c>
      <c r="F17" s="26">
        <v>1182.6</v>
      </c>
      <c r="G17" s="26">
        <f t="shared" si="3"/>
        <v>17739</v>
      </c>
      <c r="H17" s="26">
        <v>5000.0</v>
      </c>
      <c r="I17" s="26">
        <f t="shared" si="4"/>
        <v>22739</v>
      </c>
      <c r="J17" s="16">
        <v>45755.0</v>
      </c>
      <c r="K17" s="12"/>
      <c r="L17" s="17" t="s">
        <v>146</v>
      </c>
      <c r="M17" s="26">
        <f t="shared" si="5"/>
        <v>22739</v>
      </c>
      <c r="N17" s="12"/>
      <c r="O17" s="29"/>
      <c r="P17" s="15">
        <f t="shared" si="6"/>
        <v>0</v>
      </c>
      <c r="Q17" s="15"/>
    </row>
    <row r="18" ht="22.5" customHeight="1">
      <c r="A18" s="26">
        <v>17.0</v>
      </c>
      <c r="B18" s="12" t="str">
        <f>Usuarios!B18 &amp; " " &amp; Usuarios!C18 &amp; " " &amp; Usuarios!D18
</f>
        <v>Joaquin  Claramunt </v>
      </c>
      <c r="C18" s="26">
        <f t="shared" si="1"/>
        <v>152</v>
      </c>
      <c r="D18" s="27">
        <v>164.0</v>
      </c>
      <c r="E18" s="26">
        <f t="shared" si="2"/>
        <v>12</v>
      </c>
      <c r="F18" s="26">
        <v>1182.6</v>
      </c>
      <c r="G18" s="26">
        <f t="shared" si="3"/>
        <v>14191.2</v>
      </c>
      <c r="H18" s="26">
        <v>5000.0</v>
      </c>
      <c r="I18" s="26">
        <f t="shared" si="4"/>
        <v>19191.2</v>
      </c>
      <c r="J18" s="16">
        <v>45755.0</v>
      </c>
      <c r="K18" s="12"/>
      <c r="L18" s="17" t="s">
        <v>146</v>
      </c>
      <c r="M18" s="26">
        <f t="shared" si="5"/>
        <v>19191.2</v>
      </c>
      <c r="N18" s="12"/>
      <c r="O18" s="29"/>
      <c r="P18" s="15">
        <f t="shared" si="6"/>
        <v>0</v>
      </c>
      <c r="Q18" s="15"/>
    </row>
    <row r="19" ht="22.5" customHeight="1">
      <c r="A19" s="26">
        <v>18.0</v>
      </c>
      <c r="B19" s="12" t="str">
        <f>Usuarios!B19 &amp; " " &amp; Usuarios!C19 &amp; " " &amp; Usuarios!D19
</f>
        <v>Nelson  Mansilla </v>
      </c>
      <c r="C19" s="26">
        <f t="shared" si="1"/>
        <v>120</v>
      </c>
      <c r="D19" s="27">
        <v>129.0</v>
      </c>
      <c r="E19" s="26">
        <f t="shared" si="2"/>
        <v>9</v>
      </c>
      <c r="F19" s="26">
        <v>1182.6</v>
      </c>
      <c r="G19" s="26">
        <f t="shared" si="3"/>
        <v>10643.4</v>
      </c>
      <c r="H19" s="26">
        <v>5000.0</v>
      </c>
      <c r="I19" s="26">
        <f t="shared" si="4"/>
        <v>15643.4</v>
      </c>
      <c r="J19" s="16">
        <v>45755.0</v>
      </c>
      <c r="K19" s="12"/>
      <c r="L19" s="17" t="s">
        <v>146</v>
      </c>
      <c r="M19" s="26">
        <f t="shared" si="5"/>
        <v>15643.4</v>
      </c>
      <c r="N19" s="12"/>
      <c r="O19" s="29"/>
      <c r="P19" s="15">
        <f t="shared" si="6"/>
        <v>0</v>
      </c>
      <c r="Q19" s="15"/>
    </row>
    <row r="20" ht="22.5" customHeight="1">
      <c r="A20" s="26">
        <v>19.0</v>
      </c>
      <c r="B20" s="12" t="str">
        <f>Usuarios!B20 &amp; " " &amp; Usuarios!C20 &amp; " " &amp; Usuarios!D20
</f>
        <v>Eduardo  Chavez </v>
      </c>
      <c r="C20" s="26">
        <f t="shared" si="1"/>
        <v>73</v>
      </c>
      <c r="D20" s="27">
        <v>78.0</v>
      </c>
      <c r="E20" s="26">
        <f t="shared" si="2"/>
        <v>5</v>
      </c>
      <c r="F20" s="26">
        <v>1182.6</v>
      </c>
      <c r="G20" s="26">
        <f t="shared" si="3"/>
        <v>5913</v>
      </c>
      <c r="H20" s="26">
        <v>5000.0</v>
      </c>
      <c r="I20" s="26">
        <f t="shared" si="4"/>
        <v>10913</v>
      </c>
      <c r="J20" s="16">
        <v>45755.0</v>
      </c>
      <c r="K20" s="12"/>
      <c r="L20" s="17" t="s">
        <v>146</v>
      </c>
      <c r="M20" s="26">
        <f t="shared" si="5"/>
        <v>10913</v>
      </c>
      <c r="N20" s="12"/>
      <c r="O20" s="29"/>
      <c r="P20" s="15">
        <f t="shared" si="6"/>
        <v>0</v>
      </c>
      <c r="Q20" s="15"/>
    </row>
    <row r="21" ht="22.5" customHeight="1">
      <c r="A21" s="26">
        <v>20.0</v>
      </c>
      <c r="B21" s="12" t="str">
        <f>Usuarios!B21 &amp; " " &amp; Usuarios!C21 &amp; " " &amp; Usuarios!D21
</f>
        <v>Juan  Chavez </v>
      </c>
      <c r="C21" s="26">
        <f t="shared" si="1"/>
        <v>22</v>
      </c>
      <c r="D21" s="27">
        <v>23.0</v>
      </c>
      <c r="E21" s="26">
        <f t="shared" si="2"/>
        <v>1</v>
      </c>
      <c r="F21" s="26">
        <v>1182.6</v>
      </c>
      <c r="G21" s="26">
        <f t="shared" si="3"/>
        <v>1182.6</v>
      </c>
      <c r="H21" s="26">
        <v>5000.0</v>
      </c>
      <c r="I21" s="26">
        <f t="shared" si="4"/>
        <v>6182.6</v>
      </c>
      <c r="J21" s="16">
        <v>45755.0</v>
      </c>
      <c r="K21" s="12"/>
      <c r="L21" s="17" t="s">
        <v>146</v>
      </c>
      <c r="M21" s="26">
        <f t="shared" si="5"/>
        <v>6182.6</v>
      </c>
      <c r="N21" s="12"/>
      <c r="O21" s="29"/>
      <c r="P21" s="15">
        <f t="shared" si="6"/>
        <v>0</v>
      </c>
      <c r="Q21" s="15"/>
    </row>
    <row r="22" ht="22.5" customHeight="1">
      <c r="A22" s="34"/>
      <c r="B22" s="34"/>
      <c r="C22" s="34"/>
      <c r="D22" s="34"/>
      <c r="E22" s="34"/>
      <c r="F22" s="34"/>
      <c r="G22" s="34"/>
      <c r="H22" s="34"/>
      <c r="I22" s="34"/>
      <c r="J22" s="25"/>
      <c r="K22" s="25"/>
      <c r="L22" s="35"/>
      <c r="M22" s="25"/>
      <c r="N22" s="25"/>
      <c r="O22" s="35"/>
      <c r="P22" s="22"/>
      <c r="Q22" s="22"/>
    </row>
    <row r="23" ht="22.5" customHeight="1">
      <c r="A23" s="26">
        <v>22.0</v>
      </c>
      <c r="B23" s="12" t="str">
        <f>Usuarios!B23 &amp; " " &amp; Usuarios!C23 &amp; " " &amp; Usuarios!D23
</f>
        <v>Yuri  Millaquen </v>
      </c>
      <c r="C23" s="26">
        <f t="shared" ref="C23:C58" si="7">INDEX(INDIRECT("'" &amp; TEXT(EDATE(J23,-2),"mm-yyyy") &amp; "'!D:D"),
   MATCH(A23,INDIRECT("'" &amp; TEXT(EDATE(J23,-2),"mm-yyyy") &amp; "'!A:A"),0))
</f>
        <v>142</v>
      </c>
      <c r="D23" s="27">
        <v>155.0</v>
      </c>
      <c r="E23" s="26">
        <f t="shared" ref="E23:E58" si="8">D23-C23</f>
        <v>13</v>
      </c>
      <c r="F23" s="26">
        <v>1182.6</v>
      </c>
      <c r="G23" s="26">
        <f t="shared" ref="G23:G58" si="9">E23*F23</f>
        <v>15373.8</v>
      </c>
      <c r="H23" s="26">
        <v>5000.0</v>
      </c>
      <c r="I23" s="26">
        <f t="shared" ref="I23:I58" si="10">E23*F23+H23</f>
        <v>20373.8</v>
      </c>
      <c r="J23" s="16">
        <v>45755.0</v>
      </c>
      <c r="K23" s="12"/>
      <c r="L23" s="17" t="s">
        <v>146</v>
      </c>
      <c r="M23" s="26">
        <f t="shared" ref="M23:M58" si="11">IF(L23="Pagado", I23, 0)</f>
        <v>20373.8</v>
      </c>
      <c r="N23" s="12"/>
      <c r="O23" s="29"/>
      <c r="P23" s="15">
        <f t="shared" ref="P23:P58" si="12">IF(L23="NO APLICA",0, (I23-M23))</f>
        <v>0</v>
      </c>
      <c r="Q23" s="15"/>
    </row>
    <row r="24" ht="22.5" customHeight="1">
      <c r="A24" s="26">
        <v>23.0</v>
      </c>
      <c r="B24" s="12" t="str">
        <f>Usuarios!B24 &amp; " " &amp; Usuarios!C24 &amp; " " &amp; Usuarios!D24
</f>
        <v>Carlos  Nahuelpan </v>
      </c>
      <c r="C24" s="26">
        <f t="shared" si="7"/>
        <v>100</v>
      </c>
      <c r="D24" s="27">
        <v>107.0</v>
      </c>
      <c r="E24" s="26">
        <f t="shared" si="8"/>
        <v>7</v>
      </c>
      <c r="F24" s="26">
        <v>1182.6</v>
      </c>
      <c r="G24" s="26">
        <f t="shared" si="9"/>
        <v>8278.2</v>
      </c>
      <c r="H24" s="26">
        <v>5000.0</v>
      </c>
      <c r="I24" s="26">
        <f t="shared" si="10"/>
        <v>13278.2</v>
      </c>
      <c r="J24" s="16">
        <v>45755.0</v>
      </c>
      <c r="K24" s="12"/>
      <c r="L24" s="29" t="s">
        <v>143</v>
      </c>
      <c r="M24" s="26">
        <f t="shared" si="11"/>
        <v>0</v>
      </c>
      <c r="N24" s="12"/>
      <c r="O24" s="29"/>
      <c r="P24" s="15">
        <f t="shared" si="12"/>
        <v>13278.2</v>
      </c>
      <c r="Q24" s="15"/>
    </row>
    <row r="25" ht="22.5" customHeight="1">
      <c r="A25" s="26">
        <v>24.0</v>
      </c>
      <c r="B25" s="12" t="str">
        <f>Usuarios!B25 &amp; " " &amp; Usuarios!C25 &amp; " " &amp; Usuarios!D25
</f>
        <v>Maria Velasquez  Miranda</v>
      </c>
      <c r="C25" s="26">
        <f t="shared" si="7"/>
        <v>227</v>
      </c>
      <c r="D25" s="27">
        <v>252.0</v>
      </c>
      <c r="E25" s="26">
        <f t="shared" si="8"/>
        <v>25</v>
      </c>
      <c r="F25" s="26">
        <v>1182.6</v>
      </c>
      <c r="G25" s="26">
        <f t="shared" si="9"/>
        <v>29565</v>
      </c>
      <c r="H25" s="26">
        <v>5000.0</v>
      </c>
      <c r="I25" s="26">
        <f t="shared" si="10"/>
        <v>34565</v>
      </c>
      <c r="J25" s="16">
        <v>45755.0</v>
      </c>
      <c r="K25" s="12"/>
      <c r="L25" s="29" t="s">
        <v>143</v>
      </c>
      <c r="M25" s="26">
        <f t="shared" si="11"/>
        <v>0</v>
      </c>
      <c r="N25" s="12"/>
      <c r="O25" s="29"/>
      <c r="P25" s="15">
        <f t="shared" si="12"/>
        <v>34565</v>
      </c>
      <c r="Q25" s="15"/>
    </row>
    <row r="26" ht="22.5" customHeight="1">
      <c r="A26" s="26">
        <v>25.0</v>
      </c>
      <c r="B26" s="12" t="str">
        <f>Usuarios!B26 &amp; " " &amp; Usuarios!C26 &amp; " " &amp; Usuarios!D26
</f>
        <v>Inés  Velasquez </v>
      </c>
      <c r="C26" s="26">
        <f t="shared" si="7"/>
        <v>109</v>
      </c>
      <c r="D26" s="27">
        <v>114.0</v>
      </c>
      <c r="E26" s="26">
        <f t="shared" si="8"/>
        <v>5</v>
      </c>
      <c r="F26" s="26">
        <v>1182.6</v>
      </c>
      <c r="G26" s="26">
        <f t="shared" si="9"/>
        <v>5913</v>
      </c>
      <c r="H26" s="26">
        <v>5000.0</v>
      </c>
      <c r="I26" s="26">
        <f t="shared" si="10"/>
        <v>10913</v>
      </c>
      <c r="J26" s="16">
        <v>45755.0</v>
      </c>
      <c r="K26" s="12"/>
      <c r="L26" s="17" t="s">
        <v>146</v>
      </c>
      <c r="M26" s="26">
        <f t="shared" si="11"/>
        <v>10913</v>
      </c>
      <c r="N26" s="12"/>
      <c r="O26" s="29"/>
      <c r="P26" s="15">
        <f t="shared" si="12"/>
        <v>0</v>
      </c>
      <c r="Q26" s="15"/>
    </row>
    <row r="27" ht="22.5" customHeight="1">
      <c r="A27" s="26">
        <v>26.0</v>
      </c>
      <c r="B27" s="12" t="str">
        <f>Usuarios!B27 &amp; " " &amp; Usuarios!C27 &amp; " " &amp; Usuarios!D27
</f>
        <v>Guido  Quintuy </v>
      </c>
      <c r="C27" s="26">
        <f t="shared" si="7"/>
        <v>128</v>
      </c>
      <c r="D27" s="27">
        <v>140.0</v>
      </c>
      <c r="E27" s="26">
        <f t="shared" si="8"/>
        <v>12</v>
      </c>
      <c r="F27" s="26">
        <v>1182.6</v>
      </c>
      <c r="G27" s="26">
        <f t="shared" si="9"/>
        <v>14191.2</v>
      </c>
      <c r="H27" s="26">
        <v>5000.0</v>
      </c>
      <c r="I27" s="26">
        <f t="shared" si="10"/>
        <v>19191.2</v>
      </c>
      <c r="J27" s="16">
        <v>45755.0</v>
      </c>
      <c r="K27" s="12"/>
      <c r="L27" s="17" t="s">
        <v>146</v>
      </c>
      <c r="M27" s="26">
        <f t="shared" si="11"/>
        <v>19191.2</v>
      </c>
      <c r="N27" s="12"/>
      <c r="O27" s="29"/>
      <c r="P27" s="15">
        <f t="shared" si="12"/>
        <v>0</v>
      </c>
      <c r="Q27" s="15"/>
    </row>
    <row r="28" ht="22.5" customHeight="1">
      <c r="A28" s="26">
        <v>27.0</v>
      </c>
      <c r="B28" s="12" t="str">
        <f>Usuarios!B28 &amp; " " &amp; Usuarios!C28 &amp; " " &amp; Usuarios!D28
</f>
        <v>Pedro  Almonacid </v>
      </c>
      <c r="C28" s="26">
        <f t="shared" si="7"/>
        <v>189</v>
      </c>
      <c r="D28" s="27">
        <v>202.0</v>
      </c>
      <c r="E28" s="26">
        <f t="shared" si="8"/>
        <v>13</v>
      </c>
      <c r="F28" s="26">
        <v>1182.6</v>
      </c>
      <c r="G28" s="26">
        <f t="shared" si="9"/>
        <v>15373.8</v>
      </c>
      <c r="H28" s="26">
        <v>5000.0</v>
      </c>
      <c r="I28" s="26">
        <f t="shared" si="10"/>
        <v>20373.8</v>
      </c>
      <c r="J28" s="16">
        <v>45755.0</v>
      </c>
      <c r="K28" s="12"/>
      <c r="L28" s="29" t="s">
        <v>143</v>
      </c>
      <c r="M28" s="26">
        <f t="shared" si="11"/>
        <v>0</v>
      </c>
      <c r="N28" s="12"/>
      <c r="O28" s="29"/>
      <c r="P28" s="15">
        <f t="shared" si="12"/>
        <v>20373.8</v>
      </c>
      <c r="Q28" s="15"/>
    </row>
    <row r="29" ht="22.5" customHeight="1">
      <c r="A29" s="26">
        <v>28.0</v>
      </c>
      <c r="B29" s="12" t="str">
        <f>Usuarios!B29 &amp; " " &amp; Usuarios!C29 &amp; " " &amp; Usuarios!D29
</f>
        <v>Nora  Ñanco </v>
      </c>
      <c r="C29" s="26">
        <f t="shared" si="7"/>
        <v>400</v>
      </c>
      <c r="D29" s="27">
        <v>423.0</v>
      </c>
      <c r="E29" s="26">
        <f t="shared" si="8"/>
        <v>23</v>
      </c>
      <c r="F29" s="26">
        <v>1182.6</v>
      </c>
      <c r="G29" s="26">
        <f t="shared" si="9"/>
        <v>27199.8</v>
      </c>
      <c r="H29" s="26">
        <v>5000.0</v>
      </c>
      <c r="I29" s="26">
        <f t="shared" si="10"/>
        <v>32199.8</v>
      </c>
      <c r="J29" s="16">
        <v>45755.0</v>
      </c>
      <c r="K29" s="12"/>
      <c r="L29" s="17" t="s">
        <v>146</v>
      </c>
      <c r="M29" s="26">
        <f t="shared" si="11"/>
        <v>32199.8</v>
      </c>
      <c r="N29" s="12"/>
      <c r="O29" s="29"/>
      <c r="P29" s="15">
        <f t="shared" si="12"/>
        <v>0</v>
      </c>
      <c r="Q29" s="15"/>
    </row>
    <row r="30" ht="22.5" customHeight="1">
      <c r="A30" s="26">
        <v>29.0</v>
      </c>
      <c r="B30" s="12" t="str">
        <f>Usuarios!B30 &amp; " " &amp; Usuarios!C30 &amp; " " &amp; Usuarios!D30
</f>
        <v>Miriam  Alvarado </v>
      </c>
      <c r="C30" s="26">
        <f t="shared" si="7"/>
        <v>539</v>
      </c>
      <c r="D30" s="27">
        <v>556.0</v>
      </c>
      <c r="E30" s="26">
        <f t="shared" si="8"/>
        <v>17</v>
      </c>
      <c r="F30" s="26">
        <v>1182.6</v>
      </c>
      <c r="G30" s="26">
        <f t="shared" si="9"/>
        <v>20104.2</v>
      </c>
      <c r="H30" s="26">
        <v>5000.0</v>
      </c>
      <c r="I30" s="26">
        <f t="shared" si="10"/>
        <v>25104.2</v>
      </c>
      <c r="J30" s="16">
        <v>45755.0</v>
      </c>
      <c r="K30" s="12"/>
      <c r="L30" s="29" t="s">
        <v>143</v>
      </c>
      <c r="M30" s="26">
        <f t="shared" si="11"/>
        <v>0</v>
      </c>
      <c r="N30" s="12"/>
      <c r="O30" s="29"/>
      <c r="P30" s="15">
        <f t="shared" si="12"/>
        <v>25104.2</v>
      </c>
      <c r="Q30" s="15"/>
    </row>
    <row r="31" ht="22.5" customHeight="1">
      <c r="A31" s="26">
        <v>30.0</v>
      </c>
      <c r="B31" s="12" t="str">
        <f>Usuarios!B31 &amp; " " &amp; Usuarios!C31 &amp; " " &amp; Usuarios!D31
</f>
        <v>Luz  Maldonado </v>
      </c>
      <c r="C31" s="26">
        <f t="shared" si="7"/>
        <v>5</v>
      </c>
      <c r="D31" s="27">
        <v>5.0</v>
      </c>
      <c r="E31" s="26">
        <f t="shared" si="8"/>
        <v>0</v>
      </c>
      <c r="F31" s="26">
        <v>1182.6</v>
      </c>
      <c r="G31" s="26">
        <f t="shared" si="9"/>
        <v>0</v>
      </c>
      <c r="H31" s="26">
        <v>5000.0</v>
      </c>
      <c r="I31" s="26">
        <f t="shared" si="10"/>
        <v>5000</v>
      </c>
      <c r="J31" s="16">
        <v>45755.0</v>
      </c>
      <c r="K31" s="12"/>
      <c r="L31" s="17" t="s">
        <v>146</v>
      </c>
      <c r="M31" s="26">
        <f t="shared" si="11"/>
        <v>5000</v>
      </c>
      <c r="N31" s="12"/>
      <c r="O31" s="29"/>
      <c r="P31" s="15">
        <f t="shared" si="12"/>
        <v>0</v>
      </c>
      <c r="Q31" s="15"/>
    </row>
    <row r="32" ht="22.5" customHeight="1">
      <c r="A32" s="26">
        <v>31.0</v>
      </c>
      <c r="B32" s="12" t="str">
        <f>Usuarios!B32 &amp; " " &amp; Usuarios!C32 &amp; " " &amp; Usuarios!D32
</f>
        <v>Patricia  Carcamo  Gonzales</v>
      </c>
      <c r="C32" s="26">
        <f t="shared" si="7"/>
        <v>138</v>
      </c>
      <c r="D32" s="27">
        <v>153.0</v>
      </c>
      <c r="E32" s="26">
        <f t="shared" si="8"/>
        <v>15</v>
      </c>
      <c r="F32" s="26">
        <v>1182.6</v>
      </c>
      <c r="G32" s="26">
        <f t="shared" si="9"/>
        <v>17739</v>
      </c>
      <c r="H32" s="26">
        <v>5000.0</v>
      </c>
      <c r="I32" s="26">
        <f t="shared" si="10"/>
        <v>22739</v>
      </c>
      <c r="J32" s="16">
        <v>45755.0</v>
      </c>
      <c r="K32" s="12"/>
      <c r="L32" s="29" t="s">
        <v>143</v>
      </c>
      <c r="M32" s="26">
        <f t="shared" si="11"/>
        <v>0</v>
      </c>
      <c r="N32" s="12"/>
      <c r="O32" s="29"/>
      <c r="P32" s="15">
        <f t="shared" si="12"/>
        <v>22739</v>
      </c>
      <c r="Q32" s="15"/>
    </row>
    <row r="33" ht="22.5" customHeight="1">
      <c r="A33" s="26">
        <v>32.0</v>
      </c>
      <c r="B33" s="12" t="str">
        <f>Usuarios!B33 &amp; " " &amp; Usuarios!C33 &amp; " " &amp; Usuarios!D33
</f>
        <v>Natividad  Soto </v>
      </c>
      <c r="C33" s="26">
        <f t="shared" si="7"/>
        <v>77</v>
      </c>
      <c r="D33" s="27">
        <v>90.0</v>
      </c>
      <c r="E33" s="26">
        <f t="shared" si="8"/>
        <v>13</v>
      </c>
      <c r="F33" s="26">
        <v>1182.6</v>
      </c>
      <c r="G33" s="26">
        <f t="shared" si="9"/>
        <v>15373.8</v>
      </c>
      <c r="H33" s="26">
        <v>5000.0</v>
      </c>
      <c r="I33" s="26">
        <f t="shared" si="10"/>
        <v>20373.8</v>
      </c>
      <c r="J33" s="16">
        <v>45755.0</v>
      </c>
      <c r="K33" s="12"/>
      <c r="L33" s="17" t="s">
        <v>146</v>
      </c>
      <c r="M33" s="26">
        <f t="shared" si="11"/>
        <v>20373.8</v>
      </c>
      <c r="N33" s="12"/>
      <c r="O33" s="29"/>
      <c r="P33" s="15">
        <f t="shared" si="12"/>
        <v>0</v>
      </c>
      <c r="Q33" s="15"/>
    </row>
    <row r="34" ht="22.5" customHeight="1">
      <c r="A34" s="26">
        <v>33.0</v>
      </c>
      <c r="B34" s="12" t="str">
        <f>Usuarios!B34 &amp; " " &amp; Usuarios!C34 &amp; " " &amp; Usuarios!D34
</f>
        <v>Maria Oliva  Soto  Almonacid</v>
      </c>
      <c r="C34" s="26">
        <f t="shared" si="7"/>
        <v>45</v>
      </c>
      <c r="D34" s="27">
        <v>47.0</v>
      </c>
      <c r="E34" s="26">
        <f t="shared" si="8"/>
        <v>2</v>
      </c>
      <c r="F34" s="26">
        <v>1182.6</v>
      </c>
      <c r="G34" s="26">
        <f t="shared" si="9"/>
        <v>2365.2</v>
      </c>
      <c r="H34" s="26">
        <v>5000.0</v>
      </c>
      <c r="I34" s="26">
        <f t="shared" si="10"/>
        <v>7365.2</v>
      </c>
      <c r="J34" s="16">
        <v>45755.0</v>
      </c>
      <c r="K34" s="12"/>
      <c r="L34" s="17" t="s">
        <v>146</v>
      </c>
      <c r="M34" s="26">
        <f t="shared" si="11"/>
        <v>7365.2</v>
      </c>
      <c r="N34" s="12"/>
      <c r="O34" s="29"/>
      <c r="P34" s="15">
        <f t="shared" si="12"/>
        <v>0</v>
      </c>
      <c r="Q34" s="15"/>
    </row>
    <row r="35" ht="22.5" customHeight="1">
      <c r="A35" s="26">
        <v>34.0</v>
      </c>
      <c r="B35" s="12" t="str">
        <f>Usuarios!B35 &amp; " " &amp; Usuarios!C35 &amp; " " &amp; Usuarios!D35
</f>
        <v>Vanesa  Aguilar </v>
      </c>
      <c r="C35" s="26">
        <f t="shared" si="7"/>
        <v>487</v>
      </c>
      <c r="D35" s="27">
        <v>524.0</v>
      </c>
      <c r="E35" s="26">
        <f t="shared" si="8"/>
        <v>37</v>
      </c>
      <c r="F35" s="26">
        <v>1182.6</v>
      </c>
      <c r="G35" s="26">
        <f t="shared" si="9"/>
        <v>43756.2</v>
      </c>
      <c r="H35" s="26">
        <v>5000.0</v>
      </c>
      <c r="I35" s="26">
        <f t="shared" si="10"/>
        <v>48756.2</v>
      </c>
      <c r="J35" s="16">
        <v>45755.0</v>
      </c>
      <c r="K35" s="12"/>
      <c r="L35" s="29" t="s">
        <v>143</v>
      </c>
      <c r="M35" s="26">
        <f t="shared" si="11"/>
        <v>0</v>
      </c>
      <c r="N35" s="12"/>
      <c r="O35" s="29"/>
      <c r="P35" s="15">
        <f t="shared" si="12"/>
        <v>48756.2</v>
      </c>
      <c r="Q35" s="15"/>
    </row>
    <row r="36" ht="22.5" customHeight="1">
      <c r="A36" s="26">
        <v>35.0</v>
      </c>
      <c r="B36" s="12" t="str">
        <f>Usuarios!B36 &amp; " " &amp; Usuarios!C36 &amp; " " &amp; Usuarios!D36
</f>
        <v>José  Paredes </v>
      </c>
      <c r="C36" s="26">
        <f t="shared" si="7"/>
        <v>0</v>
      </c>
      <c r="D36" s="27">
        <v>0.0</v>
      </c>
      <c r="E36" s="26">
        <f t="shared" si="8"/>
        <v>0</v>
      </c>
      <c r="F36" s="26">
        <v>1182.6</v>
      </c>
      <c r="G36" s="26">
        <f t="shared" si="9"/>
        <v>0</v>
      </c>
      <c r="H36" s="26">
        <v>5000.0</v>
      </c>
      <c r="I36" s="26">
        <f t="shared" si="10"/>
        <v>5000</v>
      </c>
      <c r="J36" s="16">
        <v>45755.0</v>
      </c>
      <c r="K36" s="12"/>
      <c r="L36" s="29" t="s">
        <v>143</v>
      </c>
      <c r="M36" s="26">
        <f t="shared" si="11"/>
        <v>0</v>
      </c>
      <c r="N36" s="12"/>
      <c r="O36" s="29"/>
      <c r="P36" s="15">
        <f t="shared" si="12"/>
        <v>5000</v>
      </c>
      <c r="Q36" s="15"/>
    </row>
    <row r="37" ht="22.5" customHeight="1">
      <c r="A37" s="26">
        <v>36.0</v>
      </c>
      <c r="B37" s="12" t="str">
        <f>Usuarios!B37 &amp; " " &amp; Usuarios!C37 &amp; " " &amp; Usuarios!D37
</f>
        <v>Danilo  Soto  Soto</v>
      </c>
      <c r="C37" s="26">
        <f t="shared" si="7"/>
        <v>2</v>
      </c>
      <c r="D37" s="27">
        <v>2.0</v>
      </c>
      <c r="E37" s="26">
        <f t="shared" si="8"/>
        <v>0</v>
      </c>
      <c r="F37" s="26">
        <v>1182.6</v>
      </c>
      <c r="G37" s="26">
        <f t="shared" si="9"/>
        <v>0</v>
      </c>
      <c r="H37" s="26">
        <v>5000.0</v>
      </c>
      <c r="I37" s="26">
        <f t="shared" si="10"/>
        <v>5000</v>
      </c>
      <c r="J37" s="16">
        <v>45755.0</v>
      </c>
      <c r="K37" s="12"/>
      <c r="L37" s="29" t="s">
        <v>143</v>
      </c>
      <c r="M37" s="26">
        <f t="shared" si="11"/>
        <v>0</v>
      </c>
      <c r="N37" s="12"/>
      <c r="O37" s="29"/>
      <c r="P37" s="15">
        <f t="shared" si="12"/>
        <v>5000</v>
      </c>
      <c r="Q37" s="15"/>
    </row>
    <row r="38" ht="22.5" customHeight="1">
      <c r="A38" s="26">
        <v>37.0</v>
      </c>
      <c r="B38" s="12" t="str">
        <f>Usuarios!B38 &amp; " " &amp; Usuarios!C38 &amp; " " &amp; Usuarios!D38
</f>
        <v>Patricio Alvarez Mancilla</v>
      </c>
      <c r="C38" s="26">
        <f t="shared" si="7"/>
        <v>0</v>
      </c>
      <c r="D38" s="27">
        <v>0.0</v>
      </c>
      <c r="E38" s="26">
        <f t="shared" si="8"/>
        <v>0</v>
      </c>
      <c r="F38" s="26">
        <v>1182.6</v>
      </c>
      <c r="G38" s="26">
        <f t="shared" si="9"/>
        <v>0</v>
      </c>
      <c r="H38" s="26">
        <v>5000.0</v>
      </c>
      <c r="I38" s="26">
        <f t="shared" si="10"/>
        <v>5000</v>
      </c>
      <c r="J38" s="16">
        <v>45755.0</v>
      </c>
      <c r="K38" s="12"/>
      <c r="L38" s="29" t="s">
        <v>143</v>
      </c>
      <c r="M38" s="26">
        <f t="shared" si="11"/>
        <v>0</v>
      </c>
      <c r="N38" s="12"/>
      <c r="O38" s="29"/>
      <c r="P38" s="15">
        <f t="shared" si="12"/>
        <v>5000</v>
      </c>
      <c r="Q38" s="15"/>
    </row>
    <row r="39" ht="22.5" customHeight="1">
      <c r="A39" s="26">
        <v>38.0</v>
      </c>
      <c r="B39" s="12" t="str">
        <f>Usuarios!B39 &amp; " " &amp; Usuarios!C39 &amp; " " &amp; Usuarios!D39
</f>
        <v>Norma  Sanchez </v>
      </c>
      <c r="C39" s="26">
        <f t="shared" si="7"/>
        <v>0</v>
      </c>
      <c r="D39" s="27">
        <v>0.0</v>
      </c>
      <c r="E39" s="26">
        <f t="shared" si="8"/>
        <v>0</v>
      </c>
      <c r="F39" s="26">
        <v>1182.6</v>
      </c>
      <c r="G39" s="26">
        <f t="shared" si="9"/>
        <v>0</v>
      </c>
      <c r="H39" s="26">
        <v>5000.0</v>
      </c>
      <c r="I39" s="26">
        <f t="shared" si="10"/>
        <v>5000</v>
      </c>
      <c r="J39" s="16">
        <v>45755.0</v>
      </c>
      <c r="K39" s="12"/>
      <c r="L39" s="17" t="s">
        <v>146</v>
      </c>
      <c r="M39" s="26">
        <f t="shared" si="11"/>
        <v>5000</v>
      </c>
      <c r="N39" s="12"/>
      <c r="O39" s="29"/>
      <c r="P39" s="15">
        <f t="shared" si="12"/>
        <v>0</v>
      </c>
      <c r="Q39" s="15"/>
    </row>
    <row r="40" ht="22.5" customHeight="1">
      <c r="A40" s="26">
        <v>39.0</v>
      </c>
      <c r="B40" s="12" t="str">
        <f>Usuarios!B40 &amp; " " &amp; Usuarios!C40 &amp; " " &amp; Usuarios!D40
</f>
        <v>Gloria  Alvarez </v>
      </c>
      <c r="C40" s="26">
        <f t="shared" si="7"/>
        <v>108</v>
      </c>
      <c r="D40" s="27">
        <v>1.0</v>
      </c>
      <c r="E40" s="26">
        <f t="shared" si="8"/>
        <v>-107</v>
      </c>
      <c r="F40" s="26">
        <v>1182.6</v>
      </c>
      <c r="G40" s="26">
        <f t="shared" si="9"/>
        <v>-126538.2</v>
      </c>
      <c r="H40" s="26">
        <v>5000.0</v>
      </c>
      <c r="I40" s="26">
        <f t="shared" si="10"/>
        <v>-121538.2</v>
      </c>
      <c r="J40" s="16">
        <v>45755.0</v>
      </c>
      <c r="K40" s="12"/>
      <c r="L40" s="17" t="s">
        <v>146</v>
      </c>
      <c r="M40" s="26">
        <f t="shared" si="11"/>
        <v>-121538.2</v>
      </c>
      <c r="N40" s="12"/>
      <c r="O40" s="29"/>
      <c r="P40" s="15">
        <f t="shared" si="12"/>
        <v>0</v>
      </c>
      <c r="Q40" s="15"/>
    </row>
    <row r="41" ht="22.5" customHeight="1">
      <c r="A41" s="26">
        <v>40.0</v>
      </c>
      <c r="B41" s="12" t="str">
        <f>Usuarios!B41 &amp; " " &amp; Usuarios!C41 &amp; " " &amp; Usuarios!D41
</f>
        <v>Gloria  Levil </v>
      </c>
      <c r="C41" s="26">
        <f t="shared" si="7"/>
        <v>85</v>
      </c>
      <c r="D41" s="27">
        <v>92.0</v>
      </c>
      <c r="E41" s="26">
        <f t="shared" si="8"/>
        <v>7</v>
      </c>
      <c r="F41" s="26">
        <v>1182.6</v>
      </c>
      <c r="G41" s="26">
        <f t="shared" si="9"/>
        <v>8278.2</v>
      </c>
      <c r="H41" s="26">
        <v>5000.0</v>
      </c>
      <c r="I41" s="26">
        <f t="shared" si="10"/>
        <v>13278.2</v>
      </c>
      <c r="J41" s="16">
        <v>45755.0</v>
      </c>
      <c r="K41" s="12"/>
      <c r="L41" s="29" t="s">
        <v>143</v>
      </c>
      <c r="M41" s="26">
        <f t="shared" si="11"/>
        <v>0</v>
      </c>
      <c r="N41" s="12"/>
      <c r="O41" s="29"/>
      <c r="P41" s="15">
        <f t="shared" si="12"/>
        <v>13278.2</v>
      </c>
      <c r="Q41" s="15"/>
    </row>
    <row r="42" ht="22.5" customHeight="1">
      <c r="A42" s="26">
        <v>41.0</v>
      </c>
      <c r="B42" s="12" t="str">
        <f>Usuarios!B42 &amp; " " &amp; Usuarios!C42 &amp; " " &amp; Usuarios!D42
</f>
        <v>Astrid  Gomez </v>
      </c>
      <c r="C42" s="26">
        <f t="shared" si="7"/>
        <v>91</v>
      </c>
      <c r="D42" s="27">
        <v>97.0</v>
      </c>
      <c r="E42" s="26">
        <f t="shared" si="8"/>
        <v>6</v>
      </c>
      <c r="F42" s="26">
        <v>1182.6</v>
      </c>
      <c r="G42" s="26">
        <f t="shared" si="9"/>
        <v>7095.6</v>
      </c>
      <c r="H42" s="26">
        <v>5000.0</v>
      </c>
      <c r="I42" s="26">
        <f t="shared" si="10"/>
        <v>12095.6</v>
      </c>
      <c r="J42" s="16">
        <v>45755.0</v>
      </c>
      <c r="K42" s="12"/>
      <c r="L42" s="29" t="s">
        <v>143</v>
      </c>
      <c r="M42" s="26">
        <f t="shared" si="11"/>
        <v>0</v>
      </c>
      <c r="N42" s="12"/>
      <c r="O42" s="29"/>
      <c r="P42" s="15">
        <f t="shared" si="12"/>
        <v>12095.6</v>
      </c>
      <c r="Q42" s="15"/>
    </row>
    <row r="43" ht="22.5" customHeight="1">
      <c r="A43" s="26">
        <v>42.0</v>
      </c>
      <c r="B43" s="12" t="str">
        <f>Usuarios!B43 &amp; " " &amp; Usuarios!C43 &amp; " " &amp; Usuarios!D43
</f>
        <v>Leo  Soto </v>
      </c>
      <c r="C43" s="26">
        <f t="shared" si="7"/>
        <v>0</v>
      </c>
      <c r="D43" s="27">
        <v>10.0</v>
      </c>
      <c r="E43" s="26">
        <f t="shared" si="8"/>
        <v>10</v>
      </c>
      <c r="F43" s="26">
        <v>1182.6</v>
      </c>
      <c r="G43" s="26">
        <f t="shared" si="9"/>
        <v>11826</v>
      </c>
      <c r="H43" s="26">
        <v>5000.0</v>
      </c>
      <c r="I43" s="26">
        <f t="shared" si="10"/>
        <v>16826</v>
      </c>
      <c r="J43" s="16">
        <v>45755.0</v>
      </c>
      <c r="K43" s="12"/>
      <c r="L43" s="29" t="s">
        <v>143</v>
      </c>
      <c r="M43" s="26">
        <f t="shared" si="11"/>
        <v>0</v>
      </c>
      <c r="N43" s="12"/>
      <c r="O43" s="29"/>
      <c r="P43" s="15">
        <f t="shared" si="12"/>
        <v>16826</v>
      </c>
      <c r="Q43" s="15"/>
    </row>
    <row r="44" ht="22.5" customHeight="1">
      <c r="A44" s="26">
        <v>43.0</v>
      </c>
      <c r="B44" s="12" t="str">
        <f>Usuarios!B44 &amp; " " &amp; Usuarios!C44 &amp; " " &amp; Usuarios!D44
</f>
        <v>Ramon  Maldonado </v>
      </c>
      <c r="C44" s="26">
        <f t="shared" si="7"/>
        <v>0</v>
      </c>
      <c r="D44" s="27">
        <v>0.0</v>
      </c>
      <c r="E44" s="26">
        <f t="shared" si="8"/>
        <v>0</v>
      </c>
      <c r="F44" s="26">
        <v>1182.6</v>
      </c>
      <c r="G44" s="26">
        <f t="shared" si="9"/>
        <v>0</v>
      </c>
      <c r="H44" s="26">
        <v>5000.0</v>
      </c>
      <c r="I44" s="26">
        <f t="shared" si="10"/>
        <v>5000</v>
      </c>
      <c r="J44" s="16">
        <v>45755.0</v>
      </c>
      <c r="K44" s="12"/>
      <c r="L44" s="17" t="s">
        <v>146</v>
      </c>
      <c r="M44" s="26">
        <f t="shared" si="11"/>
        <v>5000</v>
      </c>
      <c r="N44" s="12"/>
      <c r="O44" s="29" t="s">
        <v>147</v>
      </c>
      <c r="P44" s="15">
        <f t="shared" si="12"/>
        <v>0</v>
      </c>
      <c r="Q44" s="15"/>
    </row>
    <row r="45" ht="22.5" customHeight="1">
      <c r="A45" s="26">
        <v>44.0</v>
      </c>
      <c r="B45" s="12" t="str">
        <f>Usuarios!B45 &amp; " " &amp; Usuarios!C45 &amp; " " &amp; Usuarios!D45
</f>
        <v>María Sonia  Quintui </v>
      </c>
      <c r="C45" s="26">
        <f t="shared" si="7"/>
        <v>0</v>
      </c>
      <c r="D45" s="27">
        <v>0.0</v>
      </c>
      <c r="E45" s="26">
        <f t="shared" si="8"/>
        <v>0</v>
      </c>
      <c r="F45" s="26">
        <v>1182.6</v>
      </c>
      <c r="G45" s="26">
        <f t="shared" si="9"/>
        <v>0</v>
      </c>
      <c r="H45" s="26">
        <v>5000.0</v>
      </c>
      <c r="I45" s="26">
        <f t="shared" si="10"/>
        <v>5000</v>
      </c>
      <c r="J45" s="16">
        <v>45755.0</v>
      </c>
      <c r="K45" s="12"/>
      <c r="L45" s="17" t="s">
        <v>146</v>
      </c>
      <c r="M45" s="26">
        <f t="shared" si="11"/>
        <v>5000</v>
      </c>
      <c r="N45" s="12"/>
      <c r="O45" s="29"/>
      <c r="P45" s="15">
        <f t="shared" si="12"/>
        <v>0</v>
      </c>
      <c r="Q45" s="15"/>
    </row>
    <row r="46" ht="22.5" customHeight="1">
      <c r="A46" s="26">
        <v>45.0</v>
      </c>
      <c r="B46" s="12" t="str">
        <f>Usuarios!B46 &amp; " " &amp; Usuarios!C46 &amp; " " &amp; Usuarios!D46
</f>
        <v>Monica  Cuello </v>
      </c>
      <c r="C46" s="26">
        <f t="shared" si="7"/>
        <v>0</v>
      </c>
      <c r="D46" s="27">
        <v>0.0</v>
      </c>
      <c r="E46" s="26">
        <f t="shared" si="8"/>
        <v>0</v>
      </c>
      <c r="F46" s="26">
        <v>1182.6</v>
      </c>
      <c r="G46" s="26">
        <f t="shared" si="9"/>
        <v>0</v>
      </c>
      <c r="H46" s="26">
        <v>5000.0</v>
      </c>
      <c r="I46" s="26">
        <f t="shared" si="10"/>
        <v>5000</v>
      </c>
      <c r="J46" s="16">
        <v>45755.0</v>
      </c>
      <c r="K46" s="12"/>
      <c r="L46" s="29" t="s">
        <v>143</v>
      </c>
      <c r="M46" s="26">
        <f t="shared" si="11"/>
        <v>0</v>
      </c>
      <c r="N46" s="12"/>
      <c r="O46" s="29"/>
      <c r="P46" s="15">
        <f t="shared" si="12"/>
        <v>5000</v>
      </c>
      <c r="Q46" s="15"/>
    </row>
    <row r="47" ht="22.5" customHeight="1">
      <c r="A47" s="26">
        <v>46.0</v>
      </c>
      <c r="B47" s="12" t="str">
        <f>Usuarios!B47 &amp; " " &amp; Usuarios!C47 &amp; " " &amp; Usuarios!D47
</f>
        <v>Mauricio  Muñoz taller </v>
      </c>
      <c r="C47" s="26">
        <f t="shared" si="7"/>
        <v>0</v>
      </c>
      <c r="D47" s="27">
        <v>0.0</v>
      </c>
      <c r="E47" s="26">
        <f t="shared" si="8"/>
        <v>0</v>
      </c>
      <c r="F47" s="26">
        <v>1182.6</v>
      </c>
      <c r="G47" s="26">
        <f t="shared" si="9"/>
        <v>0</v>
      </c>
      <c r="H47" s="26">
        <v>5000.0</v>
      </c>
      <c r="I47" s="26">
        <f t="shared" si="10"/>
        <v>5000</v>
      </c>
      <c r="J47" s="16">
        <v>45755.0</v>
      </c>
      <c r="K47" s="12"/>
      <c r="L47" s="29" t="s">
        <v>143</v>
      </c>
      <c r="M47" s="26">
        <f t="shared" si="11"/>
        <v>0</v>
      </c>
      <c r="N47" s="12"/>
      <c r="O47" s="29"/>
      <c r="P47" s="15">
        <f t="shared" si="12"/>
        <v>5000</v>
      </c>
      <c r="Q47" s="15"/>
    </row>
    <row r="48" ht="22.5" customHeight="1">
      <c r="A48" s="26">
        <v>47.0</v>
      </c>
      <c r="B48" s="12" t="str">
        <f>Usuarios!B48 &amp; " " &amp; Usuarios!C48 &amp; " " &amp; Usuarios!D48
</f>
        <v>Pablo  Contreras </v>
      </c>
      <c r="C48" s="26">
        <f t="shared" si="7"/>
        <v>0</v>
      </c>
      <c r="D48" s="27">
        <v>0.0</v>
      </c>
      <c r="E48" s="26">
        <f t="shared" si="8"/>
        <v>0</v>
      </c>
      <c r="F48" s="26">
        <v>1182.6</v>
      </c>
      <c r="G48" s="26">
        <f t="shared" si="9"/>
        <v>0</v>
      </c>
      <c r="H48" s="26">
        <v>5000.0</v>
      </c>
      <c r="I48" s="26">
        <f t="shared" si="10"/>
        <v>5000</v>
      </c>
      <c r="J48" s="16">
        <v>45755.0</v>
      </c>
      <c r="K48" s="12"/>
      <c r="L48" s="17" t="s">
        <v>146</v>
      </c>
      <c r="M48" s="26">
        <f t="shared" si="11"/>
        <v>5000</v>
      </c>
      <c r="N48" s="12"/>
      <c r="O48" s="29"/>
      <c r="P48" s="15">
        <f t="shared" si="12"/>
        <v>0</v>
      </c>
      <c r="Q48" s="15"/>
    </row>
    <row r="49" ht="22.5" customHeight="1">
      <c r="A49" s="26">
        <v>48.0</v>
      </c>
      <c r="B49" s="12" t="str">
        <f>Usuarios!B49 &amp; " " &amp; Usuarios!C49 &amp; " " &amp; Usuarios!D49
</f>
        <v>Luis Vicente   Mondaca  Muñoz</v>
      </c>
      <c r="C49" s="26">
        <f t="shared" si="7"/>
        <v>249</v>
      </c>
      <c r="D49" s="27">
        <v>281.0</v>
      </c>
      <c r="E49" s="26">
        <f t="shared" si="8"/>
        <v>32</v>
      </c>
      <c r="F49" s="26">
        <v>1182.6</v>
      </c>
      <c r="G49" s="26">
        <f t="shared" si="9"/>
        <v>37843.2</v>
      </c>
      <c r="H49" s="26">
        <v>5000.0</v>
      </c>
      <c r="I49" s="26">
        <f t="shared" si="10"/>
        <v>42843.2</v>
      </c>
      <c r="J49" s="16">
        <v>45755.0</v>
      </c>
      <c r="K49" s="12"/>
      <c r="L49" s="17" t="s">
        <v>146</v>
      </c>
      <c r="M49" s="26">
        <f t="shared" si="11"/>
        <v>42843.2</v>
      </c>
      <c r="N49" s="12"/>
      <c r="O49" s="29"/>
      <c r="P49" s="15">
        <f t="shared" si="12"/>
        <v>0</v>
      </c>
      <c r="Q49" s="15"/>
    </row>
    <row r="50" ht="22.5" customHeight="1">
      <c r="A50" s="26">
        <v>49.0</v>
      </c>
      <c r="B50" s="12" t="str">
        <f>Usuarios!B50 &amp; " " &amp; Usuarios!C50 &amp; " " &amp; Usuarios!D50
</f>
        <v>Rosa  Nuñez </v>
      </c>
      <c r="C50" s="26">
        <f t="shared" si="7"/>
        <v>76</v>
      </c>
      <c r="D50" s="27">
        <v>80.0</v>
      </c>
      <c r="E50" s="26">
        <f t="shared" si="8"/>
        <v>4</v>
      </c>
      <c r="F50" s="26">
        <v>1182.6</v>
      </c>
      <c r="G50" s="26">
        <f t="shared" si="9"/>
        <v>4730.4</v>
      </c>
      <c r="H50" s="26">
        <v>5000.0</v>
      </c>
      <c r="I50" s="26">
        <f t="shared" si="10"/>
        <v>9730.4</v>
      </c>
      <c r="J50" s="16">
        <v>45755.0</v>
      </c>
      <c r="K50" s="12"/>
      <c r="L50" s="29" t="s">
        <v>143</v>
      </c>
      <c r="M50" s="26">
        <f t="shared" si="11"/>
        <v>0</v>
      </c>
      <c r="N50" s="12"/>
      <c r="O50" s="29"/>
      <c r="P50" s="15">
        <f t="shared" si="12"/>
        <v>9730.4</v>
      </c>
      <c r="Q50" s="15"/>
    </row>
    <row r="51" ht="22.5" customHeight="1">
      <c r="A51" s="26">
        <v>50.0</v>
      </c>
      <c r="B51" s="12" t="str">
        <f>Usuarios!B51 &amp; " " &amp; Usuarios!C51 &amp; " " &amp; Usuarios!D51
</f>
        <v>Gloria Isamar  Velasquez  Almonacid</v>
      </c>
      <c r="C51" s="26">
        <f t="shared" si="7"/>
        <v>24</v>
      </c>
      <c r="D51" s="27">
        <v>35.0</v>
      </c>
      <c r="E51" s="26">
        <f t="shared" si="8"/>
        <v>11</v>
      </c>
      <c r="F51" s="26">
        <v>1182.6</v>
      </c>
      <c r="G51" s="26">
        <f t="shared" si="9"/>
        <v>13008.6</v>
      </c>
      <c r="H51" s="26">
        <v>5000.0</v>
      </c>
      <c r="I51" s="26">
        <f t="shared" si="10"/>
        <v>18008.6</v>
      </c>
      <c r="J51" s="16">
        <v>45755.0</v>
      </c>
      <c r="K51" s="12"/>
      <c r="L51" s="29" t="s">
        <v>143</v>
      </c>
      <c r="M51" s="26">
        <f t="shared" si="11"/>
        <v>0</v>
      </c>
      <c r="N51" s="12"/>
      <c r="O51" s="29"/>
      <c r="P51" s="15">
        <f t="shared" si="12"/>
        <v>18008.6</v>
      </c>
      <c r="Q51" s="15"/>
    </row>
    <row r="52" ht="22.5" customHeight="1">
      <c r="A52" s="26">
        <v>51.0</v>
      </c>
      <c r="B52" s="12" t="str">
        <f>Usuarios!B52 &amp; " " &amp; Usuarios!C52 &amp; " " &amp; Usuarios!D52
</f>
        <v>Maria  Manquian </v>
      </c>
      <c r="C52" s="26">
        <f t="shared" si="7"/>
        <v>0</v>
      </c>
      <c r="D52" s="27">
        <v>0.0</v>
      </c>
      <c r="E52" s="26">
        <f t="shared" si="8"/>
        <v>0</v>
      </c>
      <c r="F52" s="26">
        <v>1182.6</v>
      </c>
      <c r="G52" s="26">
        <f t="shared" si="9"/>
        <v>0</v>
      </c>
      <c r="H52" s="26">
        <v>5000.0</v>
      </c>
      <c r="I52" s="26">
        <f t="shared" si="10"/>
        <v>5000</v>
      </c>
      <c r="J52" s="16">
        <v>45755.0</v>
      </c>
      <c r="K52" s="12"/>
      <c r="L52" s="17" t="s">
        <v>146</v>
      </c>
      <c r="M52" s="26">
        <f t="shared" si="11"/>
        <v>5000</v>
      </c>
      <c r="N52" s="12"/>
      <c r="O52" s="29" t="s">
        <v>147</v>
      </c>
      <c r="P52" s="15">
        <f t="shared" si="12"/>
        <v>0</v>
      </c>
      <c r="Q52" s="15"/>
    </row>
    <row r="53" ht="22.5" customHeight="1">
      <c r="A53" s="26">
        <v>52.0</v>
      </c>
      <c r="B53" s="12" t="str">
        <f>Usuarios!B53 &amp; " " &amp; Usuarios!C53 &amp; " " &amp; Usuarios!D53
</f>
        <v>Esteban  Oyarzo  Levil</v>
      </c>
      <c r="C53" s="26">
        <f t="shared" si="7"/>
        <v>0</v>
      </c>
      <c r="D53" s="27">
        <v>0.0</v>
      </c>
      <c r="E53" s="26">
        <f t="shared" si="8"/>
        <v>0</v>
      </c>
      <c r="F53" s="26">
        <v>1182.6</v>
      </c>
      <c r="G53" s="26">
        <f t="shared" si="9"/>
        <v>0</v>
      </c>
      <c r="H53" s="26">
        <v>5000.0</v>
      </c>
      <c r="I53" s="26">
        <f t="shared" si="10"/>
        <v>5000</v>
      </c>
      <c r="J53" s="16">
        <v>45755.0</v>
      </c>
      <c r="K53" s="12"/>
      <c r="L53" s="29" t="s">
        <v>143</v>
      </c>
      <c r="M53" s="26">
        <f t="shared" si="11"/>
        <v>0</v>
      </c>
      <c r="N53" s="12"/>
      <c r="O53" s="29"/>
      <c r="P53" s="15">
        <f t="shared" si="12"/>
        <v>5000</v>
      </c>
      <c r="Q53" s="15"/>
    </row>
    <row r="54" ht="22.5" customHeight="1">
      <c r="A54" s="26">
        <v>53.0</v>
      </c>
      <c r="B54" s="12" t="str">
        <f>Usuarios!B54 &amp; " " &amp; Usuarios!C54 &amp; " " &amp; Usuarios!D54
</f>
        <v>Nicolas Andres  Cardenas Bustamante</v>
      </c>
      <c r="C54" s="26">
        <f t="shared" si="7"/>
        <v>0</v>
      </c>
      <c r="D54" s="27">
        <v>0.0</v>
      </c>
      <c r="E54" s="26">
        <f t="shared" si="8"/>
        <v>0</v>
      </c>
      <c r="F54" s="26">
        <v>1182.6</v>
      </c>
      <c r="G54" s="26">
        <f t="shared" si="9"/>
        <v>0</v>
      </c>
      <c r="H54" s="26">
        <v>5000.0</v>
      </c>
      <c r="I54" s="26">
        <f t="shared" si="10"/>
        <v>5000</v>
      </c>
      <c r="J54" s="16">
        <v>45755.0</v>
      </c>
      <c r="K54" s="12"/>
      <c r="L54" s="17" t="s">
        <v>146</v>
      </c>
      <c r="M54" s="26">
        <f t="shared" si="11"/>
        <v>5000</v>
      </c>
      <c r="N54" s="12"/>
      <c r="O54" s="29"/>
      <c r="P54" s="15">
        <f t="shared" si="12"/>
        <v>0</v>
      </c>
      <c r="Q54" s="15"/>
    </row>
    <row r="55" ht="22.5" customHeight="1">
      <c r="A55" s="26">
        <v>54.0</v>
      </c>
      <c r="B55" s="12" t="str">
        <f>Usuarios!B55 &amp; " " &amp; Usuarios!C55 &amp; " " &amp; Usuarios!D55
</f>
        <v>Rosa  Mancilla </v>
      </c>
      <c r="C55" s="26">
        <f t="shared" si="7"/>
        <v>106</v>
      </c>
      <c r="D55" s="27">
        <v>106.0</v>
      </c>
      <c r="E55" s="26">
        <f t="shared" si="8"/>
        <v>0</v>
      </c>
      <c r="F55" s="26">
        <v>1182.6</v>
      </c>
      <c r="G55" s="26">
        <f t="shared" si="9"/>
        <v>0</v>
      </c>
      <c r="H55" s="26">
        <v>5000.0</v>
      </c>
      <c r="I55" s="26">
        <f t="shared" si="10"/>
        <v>5000</v>
      </c>
      <c r="J55" s="16">
        <v>45755.0</v>
      </c>
      <c r="K55" s="12"/>
      <c r="L55" s="29" t="s">
        <v>143</v>
      </c>
      <c r="M55" s="26">
        <f t="shared" si="11"/>
        <v>0</v>
      </c>
      <c r="N55" s="12"/>
      <c r="O55" s="29"/>
      <c r="P55" s="15">
        <f t="shared" si="12"/>
        <v>5000</v>
      </c>
      <c r="Q55" s="15"/>
    </row>
    <row r="56" ht="22.5" customHeight="1">
      <c r="A56" s="26">
        <v>55.0</v>
      </c>
      <c r="B56" s="12" t="str">
        <f>Usuarios!B56 &amp; " " &amp; Usuarios!C56 &amp; " " &amp; Usuarios!D56
</f>
        <v>Guido  Quintuy - Sitio vacío </v>
      </c>
      <c r="C56" s="26">
        <f t="shared" si="7"/>
        <v>0</v>
      </c>
      <c r="D56" s="27">
        <v>0.0</v>
      </c>
      <c r="E56" s="26">
        <f t="shared" si="8"/>
        <v>0</v>
      </c>
      <c r="F56" s="26">
        <v>1182.6</v>
      </c>
      <c r="G56" s="26">
        <f t="shared" si="9"/>
        <v>0</v>
      </c>
      <c r="H56" s="26">
        <v>5000.0</v>
      </c>
      <c r="I56" s="26">
        <f t="shared" si="10"/>
        <v>5000</v>
      </c>
      <c r="J56" s="16">
        <v>45755.0</v>
      </c>
      <c r="K56" s="12"/>
      <c r="L56" s="29" t="s">
        <v>143</v>
      </c>
      <c r="M56" s="26">
        <f t="shared" si="11"/>
        <v>0</v>
      </c>
      <c r="N56" s="12"/>
      <c r="O56" s="29"/>
      <c r="P56" s="15">
        <f t="shared" si="12"/>
        <v>5000</v>
      </c>
      <c r="Q56" s="15"/>
    </row>
    <row r="57" ht="22.5" customHeight="1">
      <c r="A57" s="26">
        <v>56.0</v>
      </c>
      <c r="B57" s="12" t="str">
        <f>Usuarios!B57 &amp; " " &amp; Usuarios!C57 &amp; " " &amp; Usuarios!D57
</f>
        <v>Mario  Velasquez </v>
      </c>
      <c r="C57" s="26">
        <f t="shared" si="7"/>
        <v>8</v>
      </c>
      <c r="D57" s="27">
        <v>17.0</v>
      </c>
      <c r="E57" s="26">
        <f t="shared" si="8"/>
        <v>9</v>
      </c>
      <c r="F57" s="26">
        <v>1182.6</v>
      </c>
      <c r="G57" s="26">
        <f t="shared" si="9"/>
        <v>10643.4</v>
      </c>
      <c r="H57" s="26">
        <v>5000.0</v>
      </c>
      <c r="I57" s="26">
        <f t="shared" si="10"/>
        <v>15643.4</v>
      </c>
      <c r="J57" s="16">
        <v>45755.0</v>
      </c>
      <c r="K57" s="12"/>
      <c r="L57" s="17" t="s">
        <v>146</v>
      </c>
      <c r="M57" s="26">
        <f t="shared" si="11"/>
        <v>15643.4</v>
      </c>
      <c r="N57" s="12"/>
      <c r="O57" s="29"/>
      <c r="P57" s="15">
        <f t="shared" si="12"/>
        <v>0</v>
      </c>
      <c r="Q57" s="15"/>
    </row>
    <row r="58" ht="22.5" customHeight="1">
      <c r="A58" s="26">
        <v>57.0</v>
      </c>
      <c r="B58" s="12" t="str">
        <f>Usuarios!B58 &amp; " " &amp; Usuarios!C58 &amp; " " &amp; Usuarios!D58
</f>
        <v>Lishby  Fuentes  Diaz</v>
      </c>
      <c r="C58" s="26">
        <f t="shared" si="7"/>
        <v>0</v>
      </c>
      <c r="D58" s="28">
        <v>0.0</v>
      </c>
      <c r="E58" s="26">
        <f t="shared" si="8"/>
        <v>0</v>
      </c>
      <c r="F58" s="26">
        <v>1182.6</v>
      </c>
      <c r="G58" s="26">
        <f t="shared" si="9"/>
        <v>0</v>
      </c>
      <c r="H58" s="26">
        <v>5000.0</v>
      </c>
      <c r="I58" s="26">
        <f t="shared" si="10"/>
        <v>5000</v>
      </c>
      <c r="J58" s="16">
        <v>45755.0</v>
      </c>
      <c r="K58" s="12"/>
      <c r="L58" s="17" t="s">
        <v>144</v>
      </c>
      <c r="M58" s="26">
        <f t="shared" si="11"/>
        <v>0</v>
      </c>
      <c r="N58" s="12"/>
      <c r="O58" s="29"/>
      <c r="P58" s="15">
        <f t="shared" si="12"/>
        <v>0</v>
      </c>
      <c r="Q58" s="15"/>
    </row>
  </sheetData>
  <conditionalFormatting sqref="Q2:Q21 Q23:Q58">
    <cfRule type="containsText" dxfId="8" priority="1" operator="containsText" text="NO APLICA">
      <formula>NOT(ISERROR(SEARCH(("NO APLICA"),(Q2))))</formula>
    </cfRule>
  </conditionalFormatting>
  <conditionalFormatting sqref="Q2:Q21 Q23:Q58">
    <cfRule type="containsText" dxfId="8" priority="2" operator="containsText" text="NO APLICA">
      <formula>NOT(ISERROR(SEARCH(("NO APLICA"),(Q2))))</formula>
    </cfRule>
  </conditionalFormatting>
  <conditionalFormatting sqref="L2:L21 L23:L58">
    <cfRule type="containsText" dxfId="6" priority="3" operator="containsText" text="PENDIENTE">
      <formula>NOT(ISERROR(SEARCH(("PENDIENTE"),(L2))))</formula>
    </cfRule>
  </conditionalFormatting>
  <conditionalFormatting sqref="L2:L21 L23:L58">
    <cfRule type="containsText" dxfId="7" priority="4" operator="containsText" text="PAGADO">
      <formula>NOT(ISERROR(SEARCH(("PAGADO"),(L2))))</formula>
    </cfRule>
  </conditionalFormatting>
  <dataValidations>
    <dataValidation type="custom" allowBlank="1" showDropDown="1" sqref="P2:P58">
      <formula1>AND(ISNUMBER(P2),(NOT(OR(NOT(ISERROR(DATEVALUE(P2))), AND(ISNUMBER(P2), LEFT(CELL("format", P2))="D")))))</formula1>
    </dataValidation>
    <dataValidation type="list" allowBlank="1" sqref="O2:O58">
      <formula1>"EFECTIVO,TRANSFERENCIA,CHEQUE,TARJETA"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3.29"/>
    <col customWidth="1" min="3" max="3" width="29.29"/>
    <col customWidth="1" min="4" max="4" width="19.29"/>
    <col customWidth="1" min="5" max="5" width="18.29"/>
    <col customWidth="1" min="6" max="6" width="14.86"/>
    <col customWidth="1" min="7" max="7" width="22.86"/>
    <col customWidth="1" min="8" max="8" width="15.43"/>
    <col customWidth="1" min="9" max="9" width="18.0"/>
    <col customWidth="1" min="10" max="10" width="18.71"/>
    <col customWidth="1" min="11" max="11" width="23.29"/>
    <col customWidth="1" min="12" max="12" width="21.14"/>
    <col customWidth="1" min="13" max="13" width="19.57"/>
    <col customWidth="1" min="14" max="14" width="16.57"/>
    <col customWidth="1" min="15" max="15" width="20.86"/>
    <col customWidth="1" min="16" max="16" width="24.57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26">
        <v>1.0</v>
      </c>
      <c r="B2" s="12" t="str">
        <f>Usuarios!B2 &amp; " " &amp; Usuarios!C2 &amp; " " &amp; Usuarios!D2
</f>
        <v>Nancy Zuñiga Villarroel</v>
      </c>
      <c r="C2" s="26">
        <f t="shared" ref="C2:C21" si="1">INDEX(INDIRECT("'" &amp; TEXT(EDATE(J2,-2),"mm-yyyy") &amp; "'!D:D"),
   MATCH(A2,INDIRECT("'" &amp; TEXT(EDATE(J2,-2),"mm-yyyy") &amp; "'!A:A"),0))
</f>
        <v>193</v>
      </c>
      <c r="D2" s="27">
        <v>200.0</v>
      </c>
      <c r="E2" s="26">
        <f t="shared" ref="E2:E21" si="2">D2-C2</f>
        <v>7</v>
      </c>
      <c r="F2" s="26">
        <v>1182.6</v>
      </c>
      <c r="G2" s="26">
        <f t="shared" ref="G2:G21" si="3">E2*F2</f>
        <v>8278.2</v>
      </c>
      <c r="H2" s="26">
        <v>5000.0</v>
      </c>
      <c r="I2" s="26">
        <f t="shared" ref="I2:I21" si="4">E2*F2+H2</f>
        <v>13278.2</v>
      </c>
      <c r="J2" s="16">
        <v>45785.0</v>
      </c>
      <c r="K2" s="12"/>
      <c r="L2" s="17" t="s">
        <v>143</v>
      </c>
      <c r="M2" s="26">
        <f t="shared" ref="M2:M21" si="5">IF(L2="Pagado", I2, 0)</f>
        <v>0</v>
      </c>
      <c r="N2" s="12"/>
      <c r="O2" s="29"/>
      <c r="P2" s="15">
        <f t="shared" ref="P2:P21" si="6">IF(L2="NO APLICA",0, (I2-M2))</f>
        <v>13278.2</v>
      </c>
      <c r="Q2" s="15"/>
    </row>
    <row r="3" ht="22.5" customHeight="1">
      <c r="A3" s="26">
        <v>2.0</v>
      </c>
      <c r="B3" s="12" t="str">
        <f>Usuarios!B3 &amp; " " &amp; Usuarios!C3 &amp; " " &amp; Usuarios!D3
</f>
        <v>Gabriel Barria Zuñiga</v>
      </c>
      <c r="C3" s="26">
        <f t="shared" si="1"/>
        <v>292</v>
      </c>
      <c r="D3" s="27">
        <v>309.0</v>
      </c>
      <c r="E3" s="26">
        <f t="shared" si="2"/>
        <v>17</v>
      </c>
      <c r="F3" s="26">
        <v>1182.6</v>
      </c>
      <c r="G3" s="26">
        <f t="shared" si="3"/>
        <v>20104.2</v>
      </c>
      <c r="H3" s="26">
        <v>5000.0</v>
      </c>
      <c r="I3" s="26">
        <f t="shared" si="4"/>
        <v>25104.2</v>
      </c>
      <c r="J3" s="16">
        <v>45785.0</v>
      </c>
      <c r="K3" s="12"/>
      <c r="L3" s="17" t="s">
        <v>146</v>
      </c>
      <c r="M3" s="26">
        <f t="shared" si="5"/>
        <v>25104.2</v>
      </c>
      <c r="N3" s="12"/>
      <c r="O3" s="29"/>
      <c r="P3" s="15">
        <f t="shared" si="6"/>
        <v>0</v>
      </c>
      <c r="Q3" s="15"/>
    </row>
    <row r="4" ht="22.5" customHeight="1">
      <c r="A4" s="26">
        <v>3.0</v>
      </c>
      <c r="B4" s="12" t="str">
        <f>Usuarios!B4 &amp; " " &amp; Usuarios!C4 &amp; " " &amp; Usuarios!D4
</f>
        <v>Gino  Reyes </v>
      </c>
      <c r="C4" s="26">
        <f t="shared" si="1"/>
        <v>66</v>
      </c>
      <c r="D4" s="27">
        <v>69.0</v>
      </c>
      <c r="E4" s="26">
        <f t="shared" si="2"/>
        <v>3</v>
      </c>
      <c r="F4" s="26">
        <v>1182.6</v>
      </c>
      <c r="G4" s="26">
        <f t="shared" si="3"/>
        <v>3547.8</v>
      </c>
      <c r="H4" s="26">
        <v>5000.0</v>
      </c>
      <c r="I4" s="26">
        <f t="shared" si="4"/>
        <v>8547.8</v>
      </c>
      <c r="J4" s="16">
        <v>45785.0</v>
      </c>
      <c r="K4" s="12"/>
      <c r="L4" s="17" t="s">
        <v>143</v>
      </c>
      <c r="M4" s="26">
        <f t="shared" si="5"/>
        <v>0</v>
      </c>
      <c r="N4" s="12"/>
      <c r="O4" s="29"/>
      <c r="P4" s="15">
        <f t="shared" si="6"/>
        <v>8547.8</v>
      </c>
      <c r="Q4" s="15"/>
    </row>
    <row r="5" ht="22.5" customHeight="1">
      <c r="A5" s="26">
        <v>4.0</v>
      </c>
      <c r="B5" s="12" t="str">
        <f>Usuarios!B5 &amp; " " &amp; Usuarios!C5 &amp; " " &amp; Usuarios!D5
</f>
        <v>Cristian  Oyarzo </v>
      </c>
      <c r="C5" s="26">
        <f t="shared" si="1"/>
        <v>493</v>
      </c>
      <c r="D5" s="27">
        <v>518.0</v>
      </c>
      <c r="E5" s="26">
        <f t="shared" si="2"/>
        <v>25</v>
      </c>
      <c r="F5" s="26">
        <v>1182.6</v>
      </c>
      <c r="G5" s="26">
        <f t="shared" si="3"/>
        <v>29565</v>
      </c>
      <c r="H5" s="26">
        <v>5000.0</v>
      </c>
      <c r="I5" s="26">
        <f t="shared" si="4"/>
        <v>34565</v>
      </c>
      <c r="J5" s="16">
        <v>45785.0</v>
      </c>
      <c r="K5" s="12"/>
      <c r="L5" s="17" t="s">
        <v>143</v>
      </c>
      <c r="M5" s="26">
        <f t="shared" si="5"/>
        <v>0</v>
      </c>
      <c r="N5" s="12"/>
      <c r="O5" s="29"/>
      <c r="P5" s="15">
        <f t="shared" si="6"/>
        <v>34565</v>
      </c>
      <c r="Q5" s="15"/>
    </row>
    <row r="6" ht="22.5" customHeight="1">
      <c r="A6" s="26">
        <v>5.0</v>
      </c>
      <c r="B6" s="12" t="str">
        <f>Usuarios!B6 &amp; " " &amp; Usuarios!C6 &amp; " " &amp; Usuarios!D6
</f>
        <v>Marisol  Castro </v>
      </c>
      <c r="C6" s="26">
        <f t="shared" si="1"/>
        <v>105</v>
      </c>
      <c r="D6" s="27">
        <v>110.0</v>
      </c>
      <c r="E6" s="26">
        <f t="shared" si="2"/>
        <v>5</v>
      </c>
      <c r="F6" s="26">
        <v>1182.6</v>
      </c>
      <c r="G6" s="26">
        <f t="shared" si="3"/>
        <v>5913</v>
      </c>
      <c r="H6" s="26">
        <v>5000.0</v>
      </c>
      <c r="I6" s="26">
        <f t="shared" si="4"/>
        <v>10913</v>
      </c>
      <c r="J6" s="16">
        <v>45785.0</v>
      </c>
      <c r="K6" s="12"/>
      <c r="L6" s="17" t="s">
        <v>146</v>
      </c>
      <c r="M6" s="26">
        <f t="shared" si="5"/>
        <v>10913</v>
      </c>
      <c r="N6" s="12"/>
      <c r="O6" s="29"/>
      <c r="P6" s="15">
        <f t="shared" si="6"/>
        <v>0</v>
      </c>
      <c r="Q6" s="15"/>
    </row>
    <row r="7" ht="22.5" customHeight="1">
      <c r="A7" s="26">
        <v>6.0</v>
      </c>
      <c r="B7" s="12" t="str">
        <f>Usuarios!B7 &amp; " " &amp; Usuarios!C7 &amp; " " &amp; Usuarios!D7
</f>
        <v>Mauricio  Muñoz </v>
      </c>
      <c r="C7" s="26">
        <f t="shared" si="1"/>
        <v>198</v>
      </c>
      <c r="D7" s="27">
        <v>203.0</v>
      </c>
      <c r="E7" s="26">
        <f t="shared" si="2"/>
        <v>5</v>
      </c>
      <c r="F7" s="26">
        <v>1182.6</v>
      </c>
      <c r="G7" s="26">
        <f t="shared" si="3"/>
        <v>5913</v>
      </c>
      <c r="H7" s="26">
        <v>5000.0</v>
      </c>
      <c r="I7" s="26">
        <f t="shared" si="4"/>
        <v>10913</v>
      </c>
      <c r="J7" s="16">
        <v>45785.0</v>
      </c>
      <c r="K7" s="12"/>
      <c r="L7" s="17" t="s">
        <v>146</v>
      </c>
      <c r="M7" s="26">
        <f t="shared" si="5"/>
        <v>10913</v>
      </c>
      <c r="N7" s="12"/>
      <c r="O7" s="29"/>
      <c r="P7" s="15">
        <f t="shared" si="6"/>
        <v>0</v>
      </c>
      <c r="Q7" s="15"/>
    </row>
    <row r="8" ht="22.5" customHeight="1">
      <c r="A8" s="26">
        <v>7.0</v>
      </c>
      <c r="B8" s="12" t="str">
        <f>Usuarios!B8 &amp; " " &amp; Usuarios!C8 &amp; " " &amp; Usuarios!D8
</f>
        <v>Marcelo  Millanao </v>
      </c>
      <c r="C8" s="26">
        <f t="shared" si="1"/>
        <v>238</v>
      </c>
      <c r="D8" s="27">
        <v>249.0</v>
      </c>
      <c r="E8" s="26">
        <f t="shared" si="2"/>
        <v>11</v>
      </c>
      <c r="F8" s="26">
        <v>1182.6</v>
      </c>
      <c r="G8" s="26">
        <f t="shared" si="3"/>
        <v>13008.6</v>
      </c>
      <c r="H8" s="26">
        <v>5000.0</v>
      </c>
      <c r="I8" s="26">
        <f t="shared" si="4"/>
        <v>18008.6</v>
      </c>
      <c r="J8" s="16">
        <v>45785.0</v>
      </c>
      <c r="K8" s="12"/>
      <c r="L8" s="17" t="s">
        <v>146</v>
      </c>
      <c r="M8" s="26">
        <f t="shared" si="5"/>
        <v>18008.6</v>
      </c>
      <c r="N8" s="12"/>
      <c r="O8" s="29"/>
      <c r="P8" s="15">
        <f t="shared" si="6"/>
        <v>0</v>
      </c>
      <c r="Q8" s="15"/>
    </row>
    <row r="9" ht="22.5" customHeight="1">
      <c r="A9" s="26">
        <v>8.0</v>
      </c>
      <c r="B9" s="12" t="str">
        <f>Usuarios!B9 &amp; " " &amp; Usuarios!C9 &amp; " " &amp; Usuarios!D9
</f>
        <v>Gabriel  Farias </v>
      </c>
      <c r="C9" s="26">
        <f t="shared" si="1"/>
        <v>432</v>
      </c>
      <c r="D9" s="27">
        <v>453.0</v>
      </c>
      <c r="E9" s="26">
        <f t="shared" si="2"/>
        <v>21</v>
      </c>
      <c r="F9" s="26">
        <v>1182.6</v>
      </c>
      <c r="G9" s="26">
        <f t="shared" si="3"/>
        <v>24834.6</v>
      </c>
      <c r="H9" s="26">
        <v>5000.0</v>
      </c>
      <c r="I9" s="26">
        <f t="shared" si="4"/>
        <v>29834.6</v>
      </c>
      <c r="J9" s="16">
        <v>45785.0</v>
      </c>
      <c r="K9" s="12"/>
      <c r="L9" s="17" t="s">
        <v>146</v>
      </c>
      <c r="M9" s="26">
        <f t="shared" si="5"/>
        <v>29834.6</v>
      </c>
      <c r="N9" s="12"/>
      <c r="O9" s="29"/>
      <c r="P9" s="15">
        <f t="shared" si="6"/>
        <v>0</v>
      </c>
      <c r="Q9" s="15"/>
    </row>
    <row r="10" ht="22.5" customHeight="1">
      <c r="A10" s="26">
        <v>9.0</v>
      </c>
      <c r="B10" s="12" t="str">
        <f>Usuarios!B10 &amp; " " &amp; Usuarios!C10 &amp; " " &amp; Usuarios!D10
</f>
        <v>Maria  Marin </v>
      </c>
      <c r="C10" s="26">
        <f t="shared" si="1"/>
        <v>177</v>
      </c>
      <c r="D10" s="27">
        <v>182.0</v>
      </c>
      <c r="E10" s="26">
        <f t="shared" si="2"/>
        <v>5</v>
      </c>
      <c r="F10" s="26">
        <v>1182.6</v>
      </c>
      <c r="G10" s="26">
        <f t="shared" si="3"/>
        <v>5913</v>
      </c>
      <c r="H10" s="26">
        <v>5000.0</v>
      </c>
      <c r="I10" s="26">
        <f t="shared" si="4"/>
        <v>10913</v>
      </c>
      <c r="J10" s="16">
        <v>45785.0</v>
      </c>
      <c r="K10" s="12"/>
      <c r="L10" s="17" t="s">
        <v>146</v>
      </c>
      <c r="M10" s="26">
        <f t="shared" si="5"/>
        <v>10913</v>
      </c>
      <c r="N10" s="12"/>
      <c r="O10" s="29"/>
      <c r="P10" s="15">
        <f t="shared" si="6"/>
        <v>0</v>
      </c>
      <c r="Q10" s="15"/>
    </row>
    <row r="11" ht="22.5" customHeight="1">
      <c r="A11" s="26">
        <v>10.0</v>
      </c>
      <c r="B11" s="12" t="str">
        <f>Usuarios!B11 &amp; " " &amp; Usuarios!C11 &amp; " " &amp; Usuarios!D11
</f>
        <v>David  Cartes </v>
      </c>
      <c r="C11" s="26">
        <f t="shared" si="1"/>
        <v>112</v>
      </c>
      <c r="D11" s="27">
        <v>118.0</v>
      </c>
      <c r="E11" s="26">
        <f t="shared" si="2"/>
        <v>6</v>
      </c>
      <c r="F11" s="26">
        <v>1182.6</v>
      </c>
      <c r="G11" s="26">
        <f t="shared" si="3"/>
        <v>7095.6</v>
      </c>
      <c r="H11" s="26">
        <v>5000.0</v>
      </c>
      <c r="I11" s="26">
        <f t="shared" si="4"/>
        <v>12095.6</v>
      </c>
      <c r="J11" s="16">
        <v>45785.0</v>
      </c>
      <c r="K11" s="12"/>
      <c r="L11" s="17" t="s">
        <v>146</v>
      </c>
      <c r="M11" s="26">
        <f t="shared" si="5"/>
        <v>12095.6</v>
      </c>
      <c r="N11" s="12"/>
      <c r="O11" s="29"/>
      <c r="P11" s="15">
        <f t="shared" si="6"/>
        <v>0</v>
      </c>
      <c r="Q11" s="15"/>
    </row>
    <row r="12" ht="22.5" customHeight="1">
      <c r="A12" s="26">
        <v>11.0</v>
      </c>
      <c r="B12" s="12" t="str">
        <f>Usuarios!B12 &amp; " " &amp; Usuarios!C12 &amp; " " &amp; Usuarios!D12
</f>
        <v>Miguel  Ñanco </v>
      </c>
      <c r="C12" s="26">
        <f t="shared" si="1"/>
        <v>240</v>
      </c>
      <c r="D12" s="27">
        <v>240.0</v>
      </c>
      <c r="E12" s="26">
        <f t="shared" si="2"/>
        <v>0</v>
      </c>
      <c r="F12" s="26">
        <v>1182.6</v>
      </c>
      <c r="G12" s="26">
        <f t="shared" si="3"/>
        <v>0</v>
      </c>
      <c r="H12" s="26">
        <v>5000.0</v>
      </c>
      <c r="I12" s="26">
        <f t="shared" si="4"/>
        <v>5000</v>
      </c>
      <c r="J12" s="16">
        <v>45785.0</v>
      </c>
      <c r="K12" s="12"/>
      <c r="L12" s="17" t="s">
        <v>143</v>
      </c>
      <c r="M12" s="26">
        <f t="shared" si="5"/>
        <v>0</v>
      </c>
      <c r="N12" s="12"/>
      <c r="O12" s="29"/>
      <c r="P12" s="15">
        <f t="shared" si="6"/>
        <v>5000</v>
      </c>
      <c r="Q12" s="15"/>
    </row>
    <row r="13" ht="22.5" customHeight="1">
      <c r="A13" s="26">
        <v>12.0</v>
      </c>
      <c r="B13" s="12" t="str">
        <f>Usuarios!B13 &amp; " " &amp; Usuarios!C13 &amp; " " &amp; Usuarios!D13
</f>
        <v>Pedro  Contreras </v>
      </c>
      <c r="C13" s="26">
        <f t="shared" si="1"/>
        <v>109</v>
      </c>
      <c r="D13" s="27">
        <v>113.0</v>
      </c>
      <c r="E13" s="26">
        <f t="shared" si="2"/>
        <v>4</v>
      </c>
      <c r="F13" s="26">
        <v>1182.6</v>
      </c>
      <c r="G13" s="26">
        <f t="shared" si="3"/>
        <v>4730.4</v>
      </c>
      <c r="H13" s="26">
        <v>5000.0</v>
      </c>
      <c r="I13" s="26">
        <f t="shared" si="4"/>
        <v>9730.4</v>
      </c>
      <c r="J13" s="16">
        <v>45785.0</v>
      </c>
      <c r="K13" s="12"/>
      <c r="L13" s="17" t="s">
        <v>143</v>
      </c>
      <c r="M13" s="26">
        <f t="shared" si="5"/>
        <v>0</v>
      </c>
      <c r="N13" s="12"/>
      <c r="O13" s="29"/>
      <c r="P13" s="15">
        <f t="shared" si="6"/>
        <v>9730.4</v>
      </c>
      <c r="Q13" s="15"/>
    </row>
    <row r="14" ht="22.5" customHeight="1">
      <c r="A14" s="26">
        <v>13.0</v>
      </c>
      <c r="B14" s="12" t="str">
        <f>Usuarios!B14 &amp; " " &amp; Usuarios!C14 &amp; " " &amp; Usuarios!D14
</f>
        <v>Carlos  Gamin </v>
      </c>
      <c r="C14" s="26">
        <f t="shared" si="1"/>
        <v>183</v>
      </c>
      <c r="D14" s="27">
        <v>192.0</v>
      </c>
      <c r="E14" s="26">
        <f t="shared" si="2"/>
        <v>9</v>
      </c>
      <c r="F14" s="26">
        <v>1182.6</v>
      </c>
      <c r="G14" s="26">
        <f t="shared" si="3"/>
        <v>10643.4</v>
      </c>
      <c r="H14" s="26">
        <v>5000.0</v>
      </c>
      <c r="I14" s="26">
        <f t="shared" si="4"/>
        <v>15643.4</v>
      </c>
      <c r="J14" s="16">
        <v>45785.0</v>
      </c>
      <c r="K14" s="12"/>
      <c r="L14" s="17" t="s">
        <v>143</v>
      </c>
      <c r="M14" s="26">
        <f t="shared" si="5"/>
        <v>0</v>
      </c>
      <c r="N14" s="12"/>
      <c r="O14" s="29"/>
      <c r="P14" s="15">
        <f t="shared" si="6"/>
        <v>15643.4</v>
      </c>
      <c r="Q14" s="15"/>
    </row>
    <row r="15" ht="22.5" customHeight="1">
      <c r="A15" s="26">
        <v>14.0</v>
      </c>
      <c r="B15" s="12" t="str">
        <f>Usuarios!B15 &amp; " " &amp; Usuarios!C15 &amp; " " &amp; Usuarios!D15
</f>
        <v>Ramona  Mansilla </v>
      </c>
      <c r="C15" s="26">
        <f t="shared" si="1"/>
        <v>48</v>
      </c>
      <c r="D15" s="27">
        <v>50.0</v>
      </c>
      <c r="E15" s="26">
        <f t="shared" si="2"/>
        <v>2</v>
      </c>
      <c r="F15" s="26">
        <v>1182.6</v>
      </c>
      <c r="G15" s="26">
        <f t="shared" si="3"/>
        <v>2365.2</v>
      </c>
      <c r="H15" s="26">
        <v>5000.0</v>
      </c>
      <c r="I15" s="26">
        <f t="shared" si="4"/>
        <v>7365.2</v>
      </c>
      <c r="J15" s="16">
        <v>45785.0</v>
      </c>
      <c r="K15" s="12"/>
      <c r="L15" s="17" t="s">
        <v>143</v>
      </c>
      <c r="M15" s="26">
        <f t="shared" si="5"/>
        <v>0</v>
      </c>
      <c r="N15" s="12"/>
      <c r="O15" s="29"/>
      <c r="P15" s="15">
        <f t="shared" si="6"/>
        <v>7365.2</v>
      </c>
      <c r="Q15" s="15"/>
    </row>
    <row r="16" ht="22.5" customHeight="1">
      <c r="A16" s="26">
        <v>15.0</v>
      </c>
      <c r="B16" s="12" t="str">
        <f>Usuarios!B16 &amp; " " &amp; Usuarios!C16 &amp; " " &amp; Usuarios!D16
</f>
        <v>Sandra Mancilla  Merino</v>
      </c>
      <c r="C16" s="26">
        <f t="shared" si="1"/>
        <v>137</v>
      </c>
      <c r="D16" s="27">
        <v>144.0</v>
      </c>
      <c r="E16" s="26">
        <f t="shared" si="2"/>
        <v>7</v>
      </c>
      <c r="F16" s="26">
        <v>1182.6</v>
      </c>
      <c r="G16" s="26">
        <f t="shared" si="3"/>
        <v>8278.2</v>
      </c>
      <c r="H16" s="26">
        <v>5000.0</v>
      </c>
      <c r="I16" s="26">
        <f t="shared" si="4"/>
        <v>13278.2</v>
      </c>
      <c r="J16" s="16">
        <v>45785.0</v>
      </c>
      <c r="K16" s="12"/>
      <c r="L16" s="17" t="s">
        <v>143</v>
      </c>
      <c r="M16" s="26">
        <f t="shared" si="5"/>
        <v>0</v>
      </c>
      <c r="N16" s="12"/>
      <c r="O16" s="29"/>
      <c r="P16" s="15">
        <f t="shared" si="6"/>
        <v>13278.2</v>
      </c>
      <c r="Q16" s="15"/>
    </row>
    <row r="17" ht="22.5" customHeight="1">
      <c r="A17" s="26">
        <v>16.0</v>
      </c>
      <c r="B17" s="12" t="str">
        <f>Usuarios!B17 &amp; " " &amp; Usuarios!C17 &amp; " " &amp; Usuarios!D17
</f>
        <v>Carlos  Agüero </v>
      </c>
      <c r="C17" s="26">
        <f t="shared" si="1"/>
        <v>176</v>
      </c>
      <c r="D17" s="27">
        <v>182.0</v>
      </c>
      <c r="E17" s="26">
        <f t="shared" si="2"/>
        <v>6</v>
      </c>
      <c r="F17" s="26">
        <v>1182.6</v>
      </c>
      <c r="G17" s="26">
        <f t="shared" si="3"/>
        <v>7095.6</v>
      </c>
      <c r="H17" s="26">
        <v>5000.0</v>
      </c>
      <c r="I17" s="26">
        <f t="shared" si="4"/>
        <v>12095.6</v>
      </c>
      <c r="J17" s="16">
        <v>45785.0</v>
      </c>
      <c r="K17" s="12"/>
      <c r="L17" s="17" t="s">
        <v>143</v>
      </c>
      <c r="M17" s="26">
        <f t="shared" si="5"/>
        <v>0</v>
      </c>
      <c r="N17" s="12"/>
      <c r="O17" s="29"/>
      <c r="P17" s="15">
        <f t="shared" si="6"/>
        <v>12095.6</v>
      </c>
      <c r="Q17" s="15"/>
    </row>
    <row r="18" ht="22.5" customHeight="1">
      <c r="A18" s="26">
        <v>17.0</v>
      </c>
      <c r="B18" s="12" t="str">
        <f>Usuarios!B18 &amp; " " &amp; Usuarios!C18 &amp; " " &amp; Usuarios!D18
</f>
        <v>Joaquin  Claramunt </v>
      </c>
      <c r="C18" s="26">
        <f t="shared" si="1"/>
        <v>164</v>
      </c>
      <c r="D18" s="27">
        <v>167.0</v>
      </c>
      <c r="E18" s="26">
        <f t="shared" si="2"/>
        <v>3</v>
      </c>
      <c r="F18" s="26">
        <v>1182.6</v>
      </c>
      <c r="G18" s="26">
        <f t="shared" si="3"/>
        <v>3547.8</v>
      </c>
      <c r="H18" s="26">
        <v>5000.0</v>
      </c>
      <c r="I18" s="26">
        <f t="shared" si="4"/>
        <v>8547.8</v>
      </c>
      <c r="J18" s="16">
        <v>45785.0</v>
      </c>
      <c r="K18" s="12"/>
      <c r="L18" s="17" t="s">
        <v>143</v>
      </c>
      <c r="M18" s="26">
        <f t="shared" si="5"/>
        <v>0</v>
      </c>
      <c r="N18" s="12"/>
      <c r="O18" s="29"/>
      <c r="P18" s="15">
        <f t="shared" si="6"/>
        <v>8547.8</v>
      </c>
      <c r="Q18" s="15"/>
    </row>
    <row r="19" ht="22.5" customHeight="1">
      <c r="A19" s="26">
        <v>18.0</v>
      </c>
      <c r="B19" s="12" t="str">
        <f>Usuarios!B19 &amp; " " &amp; Usuarios!C19 &amp; " " &amp; Usuarios!D19
</f>
        <v>Nelson  Mansilla </v>
      </c>
      <c r="C19" s="26">
        <f t="shared" si="1"/>
        <v>129</v>
      </c>
      <c r="D19" s="27">
        <v>133.0</v>
      </c>
      <c r="E19" s="26">
        <f t="shared" si="2"/>
        <v>4</v>
      </c>
      <c r="F19" s="26">
        <v>1182.6</v>
      </c>
      <c r="G19" s="26">
        <f t="shared" si="3"/>
        <v>4730.4</v>
      </c>
      <c r="H19" s="26">
        <v>5000.0</v>
      </c>
      <c r="I19" s="26">
        <f t="shared" si="4"/>
        <v>9730.4</v>
      </c>
      <c r="J19" s="16">
        <v>45785.0</v>
      </c>
      <c r="K19" s="12"/>
      <c r="L19" s="17" t="s">
        <v>146</v>
      </c>
      <c r="M19" s="26">
        <f t="shared" si="5"/>
        <v>9730.4</v>
      </c>
      <c r="N19" s="12"/>
      <c r="O19" s="29"/>
      <c r="P19" s="15">
        <f t="shared" si="6"/>
        <v>0</v>
      </c>
      <c r="Q19" s="15"/>
    </row>
    <row r="20" ht="22.5" customHeight="1">
      <c r="A20" s="26">
        <v>19.0</v>
      </c>
      <c r="B20" s="12" t="str">
        <f>Usuarios!B20 &amp; " " &amp; Usuarios!C20 &amp; " " &amp; Usuarios!D20
</f>
        <v>Eduardo  Chavez </v>
      </c>
      <c r="C20" s="26">
        <f t="shared" si="1"/>
        <v>78</v>
      </c>
      <c r="D20" s="27">
        <v>82.0</v>
      </c>
      <c r="E20" s="26">
        <f t="shared" si="2"/>
        <v>4</v>
      </c>
      <c r="F20" s="26">
        <v>1182.6</v>
      </c>
      <c r="G20" s="26">
        <f t="shared" si="3"/>
        <v>4730.4</v>
      </c>
      <c r="H20" s="26">
        <v>5000.0</v>
      </c>
      <c r="I20" s="26">
        <f t="shared" si="4"/>
        <v>9730.4</v>
      </c>
      <c r="J20" s="16">
        <v>45785.0</v>
      </c>
      <c r="K20" s="12"/>
      <c r="L20" s="17" t="s">
        <v>143</v>
      </c>
      <c r="M20" s="26">
        <f t="shared" si="5"/>
        <v>0</v>
      </c>
      <c r="N20" s="12"/>
      <c r="O20" s="29"/>
      <c r="P20" s="15">
        <f t="shared" si="6"/>
        <v>9730.4</v>
      </c>
      <c r="Q20" s="15"/>
    </row>
    <row r="21" ht="22.5" customHeight="1">
      <c r="A21" s="26">
        <v>20.0</v>
      </c>
      <c r="B21" s="12" t="str">
        <f>Usuarios!B21 &amp; " " &amp; Usuarios!C21 &amp; " " &amp; Usuarios!D21
</f>
        <v>Juan  Chavez </v>
      </c>
      <c r="C21" s="26">
        <f t="shared" si="1"/>
        <v>23</v>
      </c>
      <c r="D21" s="27">
        <v>24.0</v>
      </c>
      <c r="E21" s="26">
        <f t="shared" si="2"/>
        <v>1</v>
      </c>
      <c r="F21" s="26">
        <v>1182.6</v>
      </c>
      <c r="G21" s="26">
        <f t="shared" si="3"/>
        <v>1182.6</v>
      </c>
      <c r="H21" s="26">
        <v>5000.0</v>
      </c>
      <c r="I21" s="26">
        <f t="shared" si="4"/>
        <v>6182.6</v>
      </c>
      <c r="J21" s="16">
        <v>45785.0</v>
      </c>
      <c r="K21" s="12"/>
      <c r="L21" s="17" t="s">
        <v>146</v>
      </c>
      <c r="M21" s="26">
        <f t="shared" si="5"/>
        <v>6182.6</v>
      </c>
      <c r="N21" s="12"/>
      <c r="O21" s="29"/>
      <c r="P21" s="15">
        <f t="shared" si="6"/>
        <v>0</v>
      </c>
      <c r="Q21" s="15"/>
    </row>
    <row r="22" ht="22.5" customHeight="1">
      <c r="A22" s="34"/>
      <c r="B22" s="25"/>
      <c r="C22" s="34"/>
      <c r="D22" s="34"/>
      <c r="E22" s="34"/>
      <c r="F22" s="34"/>
      <c r="G22" s="34"/>
      <c r="H22" s="34"/>
      <c r="I22" s="25"/>
      <c r="J22" s="25"/>
      <c r="K22" s="25"/>
      <c r="L22" s="35"/>
      <c r="M22" s="25"/>
      <c r="N22" s="25"/>
      <c r="O22" s="35"/>
      <c r="P22" s="22"/>
      <c r="Q22" s="22"/>
    </row>
    <row r="23" ht="22.5" customHeight="1">
      <c r="A23" s="26">
        <v>22.0</v>
      </c>
      <c r="B23" s="12" t="str">
        <f>Usuarios!B23 &amp; " " &amp; Usuarios!C23 &amp; " " &amp; Usuarios!D23
</f>
        <v>Yuri  Millaquen </v>
      </c>
      <c r="C23" s="26">
        <f t="shared" ref="C23:C58" si="7">INDEX(INDIRECT("'" &amp; TEXT(EDATE(J23,-2),"mm-yyyy") &amp; "'!D:D"),
   MATCH(A23,INDIRECT("'" &amp; TEXT(EDATE(J23,-2),"mm-yyyy") &amp; "'!A:A"),0))
</f>
        <v>155</v>
      </c>
      <c r="D23" s="27">
        <v>163.0</v>
      </c>
      <c r="E23" s="26">
        <f t="shared" ref="E23:E58" si="8">D23-C23</f>
        <v>8</v>
      </c>
      <c r="F23" s="26">
        <v>1182.6</v>
      </c>
      <c r="G23" s="26">
        <f t="shared" ref="G23:G58" si="9">E23*F23</f>
        <v>9460.8</v>
      </c>
      <c r="H23" s="26">
        <v>5000.0</v>
      </c>
      <c r="I23" s="26">
        <f t="shared" ref="I23:I58" si="10">E23*F23+H23</f>
        <v>14460.8</v>
      </c>
      <c r="J23" s="16">
        <v>45785.0</v>
      </c>
      <c r="K23" s="12"/>
      <c r="L23" s="17" t="s">
        <v>143</v>
      </c>
      <c r="M23" s="26">
        <f t="shared" ref="M23:M58" si="11">IF(L23="Pagado", I23, 0)</f>
        <v>0</v>
      </c>
      <c r="N23" s="12"/>
      <c r="O23" s="29"/>
      <c r="P23" s="15">
        <f t="shared" ref="P23:P58" si="12">IF(L23="NO APLICA",0, (I23-M23))</f>
        <v>14460.8</v>
      </c>
      <c r="Q23" s="15"/>
    </row>
    <row r="24" ht="22.5" customHeight="1">
      <c r="A24" s="26">
        <v>23.0</v>
      </c>
      <c r="B24" s="12" t="str">
        <f>Usuarios!B24 &amp; " " &amp; Usuarios!C24 &amp; " " &amp; Usuarios!D24
</f>
        <v>Carlos  Nahuelpan </v>
      </c>
      <c r="C24" s="26">
        <f t="shared" si="7"/>
        <v>107</v>
      </c>
      <c r="D24" s="27">
        <v>112.0</v>
      </c>
      <c r="E24" s="26">
        <f t="shared" si="8"/>
        <v>5</v>
      </c>
      <c r="F24" s="26">
        <v>1182.6</v>
      </c>
      <c r="G24" s="26">
        <f t="shared" si="9"/>
        <v>5913</v>
      </c>
      <c r="H24" s="26">
        <v>5000.0</v>
      </c>
      <c r="I24" s="26">
        <f t="shared" si="10"/>
        <v>10913</v>
      </c>
      <c r="J24" s="16">
        <v>45785.0</v>
      </c>
      <c r="K24" s="12"/>
      <c r="L24" s="17" t="s">
        <v>143</v>
      </c>
      <c r="M24" s="26">
        <f t="shared" si="11"/>
        <v>0</v>
      </c>
      <c r="N24" s="12"/>
      <c r="O24" s="29"/>
      <c r="P24" s="15">
        <f t="shared" si="12"/>
        <v>10913</v>
      </c>
      <c r="Q24" s="15"/>
    </row>
    <row r="25" ht="22.5" customHeight="1">
      <c r="A25" s="26">
        <v>24.0</v>
      </c>
      <c r="B25" s="12" t="str">
        <f>Usuarios!B25 &amp; " " &amp; Usuarios!C25 &amp; " " &amp; Usuarios!D25
</f>
        <v>Maria Velasquez  Miranda</v>
      </c>
      <c r="C25" s="26">
        <f t="shared" si="7"/>
        <v>252</v>
      </c>
      <c r="D25" s="27">
        <v>263.0</v>
      </c>
      <c r="E25" s="26">
        <f t="shared" si="8"/>
        <v>11</v>
      </c>
      <c r="F25" s="26">
        <v>1182.6</v>
      </c>
      <c r="G25" s="26">
        <f t="shared" si="9"/>
        <v>13008.6</v>
      </c>
      <c r="H25" s="26">
        <v>5000.0</v>
      </c>
      <c r="I25" s="26">
        <f t="shared" si="10"/>
        <v>18008.6</v>
      </c>
      <c r="J25" s="16">
        <v>45785.0</v>
      </c>
      <c r="K25" s="12"/>
      <c r="L25" s="17" t="s">
        <v>143</v>
      </c>
      <c r="M25" s="26">
        <f t="shared" si="11"/>
        <v>0</v>
      </c>
      <c r="N25" s="12"/>
      <c r="O25" s="29"/>
      <c r="P25" s="15">
        <f t="shared" si="12"/>
        <v>18008.6</v>
      </c>
      <c r="Q25" s="15"/>
    </row>
    <row r="26" ht="22.5" customHeight="1">
      <c r="A26" s="26">
        <v>25.0</v>
      </c>
      <c r="B26" s="12" t="str">
        <f>Usuarios!B26 &amp; " " &amp; Usuarios!C26 &amp; " " &amp; Usuarios!D26
</f>
        <v>Inés  Velasquez </v>
      </c>
      <c r="C26" s="26">
        <f t="shared" si="7"/>
        <v>114</v>
      </c>
      <c r="D26" s="27">
        <v>117.0</v>
      </c>
      <c r="E26" s="26">
        <f t="shared" si="8"/>
        <v>3</v>
      </c>
      <c r="F26" s="26">
        <v>1182.6</v>
      </c>
      <c r="G26" s="26">
        <f t="shared" si="9"/>
        <v>3547.8</v>
      </c>
      <c r="H26" s="26">
        <v>5000.0</v>
      </c>
      <c r="I26" s="26">
        <f t="shared" si="10"/>
        <v>8547.8</v>
      </c>
      <c r="J26" s="16">
        <v>45785.0</v>
      </c>
      <c r="K26" s="12"/>
      <c r="L26" s="17" t="s">
        <v>143</v>
      </c>
      <c r="M26" s="26">
        <f t="shared" si="11"/>
        <v>0</v>
      </c>
      <c r="N26" s="12"/>
      <c r="O26" s="29"/>
      <c r="P26" s="15">
        <f t="shared" si="12"/>
        <v>8547.8</v>
      </c>
      <c r="Q26" s="15"/>
    </row>
    <row r="27" ht="22.5" customHeight="1">
      <c r="A27" s="26">
        <v>26.0</v>
      </c>
      <c r="B27" s="12" t="str">
        <f>Usuarios!B27 &amp; " " &amp; Usuarios!C27 &amp; " " &amp; Usuarios!D27
</f>
        <v>Guido  Quintuy </v>
      </c>
      <c r="C27" s="26">
        <f t="shared" si="7"/>
        <v>140</v>
      </c>
      <c r="D27" s="27">
        <v>143.0</v>
      </c>
      <c r="E27" s="26">
        <f t="shared" si="8"/>
        <v>3</v>
      </c>
      <c r="F27" s="26">
        <v>1182.6</v>
      </c>
      <c r="G27" s="26">
        <f t="shared" si="9"/>
        <v>3547.8</v>
      </c>
      <c r="H27" s="26">
        <v>5000.0</v>
      </c>
      <c r="I27" s="26">
        <f t="shared" si="10"/>
        <v>8547.8</v>
      </c>
      <c r="J27" s="16">
        <v>45785.0</v>
      </c>
      <c r="K27" s="12"/>
      <c r="L27" s="17" t="s">
        <v>143</v>
      </c>
      <c r="M27" s="26">
        <f t="shared" si="11"/>
        <v>0</v>
      </c>
      <c r="N27" s="12"/>
      <c r="O27" s="29"/>
      <c r="P27" s="15">
        <f t="shared" si="12"/>
        <v>8547.8</v>
      </c>
      <c r="Q27" s="15"/>
    </row>
    <row r="28" ht="22.5" customHeight="1">
      <c r="A28" s="26">
        <v>27.0</v>
      </c>
      <c r="B28" s="12" t="str">
        <f>Usuarios!B28 &amp; " " &amp; Usuarios!C28 &amp; " " &amp; Usuarios!D28
</f>
        <v>Pedro  Almonacid </v>
      </c>
      <c r="C28" s="26">
        <f t="shared" si="7"/>
        <v>202</v>
      </c>
      <c r="D28" s="27">
        <v>212.0</v>
      </c>
      <c r="E28" s="26">
        <f t="shared" si="8"/>
        <v>10</v>
      </c>
      <c r="F28" s="26">
        <v>1182.6</v>
      </c>
      <c r="G28" s="26">
        <f t="shared" si="9"/>
        <v>11826</v>
      </c>
      <c r="H28" s="26">
        <v>5000.0</v>
      </c>
      <c r="I28" s="26">
        <f t="shared" si="10"/>
        <v>16826</v>
      </c>
      <c r="J28" s="16">
        <v>45785.0</v>
      </c>
      <c r="K28" s="12"/>
      <c r="L28" s="17" t="s">
        <v>143</v>
      </c>
      <c r="M28" s="26">
        <f t="shared" si="11"/>
        <v>0</v>
      </c>
      <c r="N28" s="12"/>
      <c r="O28" s="29"/>
      <c r="P28" s="15">
        <f t="shared" si="12"/>
        <v>16826</v>
      </c>
      <c r="Q28" s="15"/>
    </row>
    <row r="29" ht="22.5" customHeight="1">
      <c r="A29" s="26">
        <v>28.0</v>
      </c>
      <c r="B29" s="12" t="str">
        <f>Usuarios!B29 &amp; " " &amp; Usuarios!C29 &amp; " " &amp; Usuarios!D29
</f>
        <v>Nora  Ñanco </v>
      </c>
      <c r="C29" s="26">
        <f t="shared" si="7"/>
        <v>423</v>
      </c>
      <c r="D29" s="27">
        <v>441.0</v>
      </c>
      <c r="E29" s="26">
        <f t="shared" si="8"/>
        <v>18</v>
      </c>
      <c r="F29" s="26">
        <v>1182.6</v>
      </c>
      <c r="G29" s="26">
        <f t="shared" si="9"/>
        <v>21286.8</v>
      </c>
      <c r="H29" s="26">
        <v>5000.0</v>
      </c>
      <c r="I29" s="26">
        <f t="shared" si="10"/>
        <v>26286.8</v>
      </c>
      <c r="J29" s="16">
        <v>45785.0</v>
      </c>
      <c r="K29" s="12"/>
      <c r="L29" s="17" t="s">
        <v>146</v>
      </c>
      <c r="M29" s="26">
        <f t="shared" si="11"/>
        <v>26286.8</v>
      </c>
      <c r="N29" s="12"/>
      <c r="O29" s="29"/>
      <c r="P29" s="15">
        <f t="shared" si="12"/>
        <v>0</v>
      </c>
      <c r="Q29" s="15"/>
    </row>
    <row r="30" ht="22.5" customHeight="1">
      <c r="A30" s="26">
        <v>29.0</v>
      </c>
      <c r="B30" s="12" t="str">
        <f>Usuarios!B30 &amp; " " &amp; Usuarios!C30 &amp; " " &amp; Usuarios!D30
</f>
        <v>Miriam  Alvarado </v>
      </c>
      <c r="C30" s="26">
        <f t="shared" si="7"/>
        <v>556</v>
      </c>
      <c r="D30" s="27">
        <v>570.0</v>
      </c>
      <c r="E30" s="26">
        <f t="shared" si="8"/>
        <v>14</v>
      </c>
      <c r="F30" s="26">
        <v>1182.6</v>
      </c>
      <c r="G30" s="26">
        <f t="shared" si="9"/>
        <v>16556.4</v>
      </c>
      <c r="H30" s="26">
        <v>5000.0</v>
      </c>
      <c r="I30" s="26">
        <f t="shared" si="10"/>
        <v>21556.4</v>
      </c>
      <c r="J30" s="16">
        <v>45785.0</v>
      </c>
      <c r="K30" s="12"/>
      <c r="L30" s="17" t="s">
        <v>143</v>
      </c>
      <c r="M30" s="26">
        <f t="shared" si="11"/>
        <v>0</v>
      </c>
      <c r="N30" s="12"/>
      <c r="O30" s="29"/>
      <c r="P30" s="15">
        <f t="shared" si="12"/>
        <v>21556.4</v>
      </c>
      <c r="Q30" s="15"/>
    </row>
    <row r="31" ht="22.5" customHeight="1">
      <c r="A31" s="26">
        <v>30.0</v>
      </c>
      <c r="B31" s="12" t="str">
        <f>Usuarios!B31 &amp; " " &amp; Usuarios!C31 &amp; " " &amp; Usuarios!D31
</f>
        <v>Luz  Maldonado </v>
      </c>
      <c r="C31" s="26">
        <f t="shared" si="7"/>
        <v>5</v>
      </c>
      <c r="D31" s="27">
        <v>5.0</v>
      </c>
      <c r="E31" s="26">
        <f t="shared" si="8"/>
        <v>0</v>
      </c>
      <c r="F31" s="26">
        <v>1182.6</v>
      </c>
      <c r="G31" s="26">
        <f t="shared" si="9"/>
        <v>0</v>
      </c>
      <c r="H31" s="26">
        <v>5000.0</v>
      </c>
      <c r="I31" s="26">
        <f t="shared" si="10"/>
        <v>5000</v>
      </c>
      <c r="J31" s="16">
        <v>45785.0</v>
      </c>
      <c r="K31" s="12"/>
      <c r="L31" s="17" t="s">
        <v>146</v>
      </c>
      <c r="M31" s="26">
        <f t="shared" si="11"/>
        <v>5000</v>
      </c>
      <c r="N31" s="12"/>
      <c r="O31" s="29"/>
      <c r="P31" s="15">
        <f t="shared" si="12"/>
        <v>0</v>
      </c>
      <c r="Q31" s="15"/>
    </row>
    <row r="32" ht="22.5" customHeight="1">
      <c r="A32" s="26">
        <v>31.0</v>
      </c>
      <c r="B32" s="12" t="str">
        <f>Usuarios!B32 &amp; " " &amp; Usuarios!C32 &amp; " " &amp; Usuarios!D32
</f>
        <v>Patricia  Carcamo  Gonzales</v>
      </c>
      <c r="C32" s="26">
        <f t="shared" si="7"/>
        <v>153</v>
      </c>
      <c r="D32" s="27">
        <v>164.0</v>
      </c>
      <c r="E32" s="26">
        <f t="shared" si="8"/>
        <v>11</v>
      </c>
      <c r="F32" s="26">
        <v>1182.6</v>
      </c>
      <c r="G32" s="26">
        <f t="shared" si="9"/>
        <v>13008.6</v>
      </c>
      <c r="H32" s="26">
        <v>5000.0</v>
      </c>
      <c r="I32" s="26">
        <f t="shared" si="10"/>
        <v>18008.6</v>
      </c>
      <c r="J32" s="16">
        <v>45785.0</v>
      </c>
      <c r="K32" s="12"/>
      <c r="L32" s="17" t="s">
        <v>146</v>
      </c>
      <c r="M32" s="26">
        <f t="shared" si="11"/>
        <v>18008.6</v>
      </c>
      <c r="N32" s="12"/>
      <c r="O32" s="29"/>
      <c r="P32" s="15">
        <f t="shared" si="12"/>
        <v>0</v>
      </c>
      <c r="Q32" s="15"/>
    </row>
    <row r="33" ht="22.5" customHeight="1">
      <c r="A33" s="26">
        <v>32.0</v>
      </c>
      <c r="B33" s="12" t="str">
        <f>Usuarios!B33 &amp; " " &amp; Usuarios!C33 &amp; " " &amp; Usuarios!D33
</f>
        <v>Natividad  Soto </v>
      </c>
      <c r="C33" s="26">
        <f t="shared" si="7"/>
        <v>90</v>
      </c>
      <c r="D33" s="27">
        <v>97.0</v>
      </c>
      <c r="E33" s="26">
        <f t="shared" si="8"/>
        <v>7</v>
      </c>
      <c r="F33" s="26">
        <v>1182.6</v>
      </c>
      <c r="G33" s="26">
        <f t="shared" si="9"/>
        <v>8278.2</v>
      </c>
      <c r="H33" s="26">
        <v>5000.0</v>
      </c>
      <c r="I33" s="26">
        <f t="shared" si="10"/>
        <v>13278.2</v>
      </c>
      <c r="J33" s="16">
        <v>45785.0</v>
      </c>
      <c r="K33" s="12"/>
      <c r="L33" s="17" t="s">
        <v>146</v>
      </c>
      <c r="M33" s="26">
        <f t="shared" si="11"/>
        <v>13278.2</v>
      </c>
      <c r="N33" s="12"/>
      <c r="O33" s="29"/>
      <c r="P33" s="15">
        <f t="shared" si="12"/>
        <v>0</v>
      </c>
      <c r="Q33" s="15"/>
    </row>
    <row r="34" ht="22.5" customHeight="1">
      <c r="A34" s="26">
        <v>33.0</v>
      </c>
      <c r="B34" s="12" t="str">
        <f>Usuarios!B34 &amp; " " &amp; Usuarios!C34 &amp; " " &amp; Usuarios!D34
</f>
        <v>Maria Oliva  Soto  Almonacid</v>
      </c>
      <c r="C34" s="26">
        <f t="shared" si="7"/>
        <v>47</v>
      </c>
      <c r="D34" s="27">
        <v>49.0</v>
      </c>
      <c r="E34" s="26">
        <f t="shared" si="8"/>
        <v>2</v>
      </c>
      <c r="F34" s="26">
        <v>1182.6</v>
      </c>
      <c r="G34" s="26">
        <f t="shared" si="9"/>
        <v>2365.2</v>
      </c>
      <c r="H34" s="26">
        <v>5000.0</v>
      </c>
      <c r="I34" s="26">
        <f t="shared" si="10"/>
        <v>7365.2</v>
      </c>
      <c r="J34" s="16">
        <v>45785.0</v>
      </c>
      <c r="K34" s="12"/>
      <c r="L34" s="17" t="s">
        <v>146</v>
      </c>
      <c r="M34" s="26">
        <f t="shared" si="11"/>
        <v>7365.2</v>
      </c>
      <c r="N34" s="12"/>
      <c r="O34" s="29"/>
      <c r="P34" s="15">
        <f t="shared" si="12"/>
        <v>0</v>
      </c>
      <c r="Q34" s="15"/>
    </row>
    <row r="35" ht="22.5" customHeight="1">
      <c r="A35" s="26">
        <v>34.0</v>
      </c>
      <c r="B35" s="12" t="str">
        <f>Usuarios!B35 &amp; " " &amp; Usuarios!C35 &amp; " " &amp; Usuarios!D35
</f>
        <v>Vanesa  Aguilar </v>
      </c>
      <c r="C35" s="26">
        <f t="shared" si="7"/>
        <v>524</v>
      </c>
      <c r="D35" s="27">
        <v>541.0</v>
      </c>
      <c r="E35" s="26">
        <f t="shared" si="8"/>
        <v>17</v>
      </c>
      <c r="F35" s="26">
        <v>1182.6</v>
      </c>
      <c r="G35" s="26">
        <f t="shared" si="9"/>
        <v>20104.2</v>
      </c>
      <c r="H35" s="26">
        <v>5000.0</v>
      </c>
      <c r="I35" s="26">
        <f t="shared" si="10"/>
        <v>25104.2</v>
      </c>
      <c r="J35" s="16">
        <v>45785.0</v>
      </c>
      <c r="K35" s="12"/>
      <c r="L35" s="17" t="s">
        <v>143</v>
      </c>
      <c r="M35" s="26">
        <f t="shared" si="11"/>
        <v>0</v>
      </c>
      <c r="N35" s="12"/>
      <c r="O35" s="29"/>
      <c r="P35" s="15">
        <f t="shared" si="12"/>
        <v>25104.2</v>
      </c>
      <c r="Q35" s="15"/>
    </row>
    <row r="36" ht="22.5" customHeight="1">
      <c r="A36" s="26">
        <v>35.0</v>
      </c>
      <c r="B36" s="12" t="str">
        <f>Usuarios!B36 &amp; " " &amp; Usuarios!C36 &amp; " " &amp; Usuarios!D36
</f>
        <v>José  Paredes </v>
      </c>
      <c r="C36" s="26">
        <f t="shared" si="7"/>
        <v>0</v>
      </c>
      <c r="D36" s="27">
        <v>0.0</v>
      </c>
      <c r="E36" s="26">
        <f t="shared" si="8"/>
        <v>0</v>
      </c>
      <c r="F36" s="26">
        <v>1182.6</v>
      </c>
      <c r="G36" s="26">
        <f t="shared" si="9"/>
        <v>0</v>
      </c>
      <c r="H36" s="26">
        <v>5000.0</v>
      </c>
      <c r="I36" s="26">
        <f t="shared" si="10"/>
        <v>5000</v>
      </c>
      <c r="J36" s="16">
        <v>45785.0</v>
      </c>
      <c r="K36" s="12"/>
      <c r="L36" s="17" t="s">
        <v>143</v>
      </c>
      <c r="M36" s="26">
        <f t="shared" si="11"/>
        <v>0</v>
      </c>
      <c r="N36" s="12"/>
      <c r="O36" s="29"/>
      <c r="P36" s="15">
        <f t="shared" si="12"/>
        <v>5000</v>
      </c>
      <c r="Q36" s="15"/>
    </row>
    <row r="37" ht="22.5" customHeight="1">
      <c r="A37" s="26">
        <v>36.0</v>
      </c>
      <c r="B37" s="12" t="str">
        <f>Usuarios!B37 &amp; " " &amp; Usuarios!C37 &amp; " " &amp; Usuarios!D37
</f>
        <v>Danilo  Soto  Soto</v>
      </c>
      <c r="C37" s="26">
        <f t="shared" si="7"/>
        <v>2</v>
      </c>
      <c r="D37" s="27">
        <v>2.0</v>
      </c>
      <c r="E37" s="26">
        <f t="shared" si="8"/>
        <v>0</v>
      </c>
      <c r="F37" s="26">
        <v>1182.6</v>
      </c>
      <c r="G37" s="26">
        <f t="shared" si="9"/>
        <v>0</v>
      </c>
      <c r="H37" s="26">
        <v>5000.0</v>
      </c>
      <c r="I37" s="26">
        <f t="shared" si="10"/>
        <v>5000</v>
      </c>
      <c r="J37" s="16">
        <v>45785.0</v>
      </c>
      <c r="K37" s="12"/>
      <c r="L37" s="17" t="s">
        <v>143</v>
      </c>
      <c r="M37" s="26">
        <f t="shared" si="11"/>
        <v>0</v>
      </c>
      <c r="N37" s="12"/>
      <c r="O37" s="29"/>
      <c r="P37" s="15">
        <f t="shared" si="12"/>
        <v>5000</v>
      </c>
      <c r="Q37" s="15"/>
    </row>
    <row r="38" ht="22.5" customHeight="1">
      <c r="A38" s="26">
        <v>37.0</v>
      </c>
      <c r="B38" s="12" t="str">
        <f>Usuarios!B38 &amp; " " &amp; Usuarios!C38 &amp; " " &amp; Usuarios!D38
</f>
        <v>Patricio Alvarez Mancilla</v>
      </c>
      <c r="C38" s="26">
        <f t="shared" si="7"/>
        <v>0</v>
      </c>
      <c r="D38" s="27">
        <v>0.0</v>
      </c>
      <c r="E38" s="26">
        <f t="shared" si="8"/>
        <v>0</v>
      </c>
      <c r="F38" s="26">
        <v>1182.6</v>
      </c>
      <c r="G38" s="26">
        <f t="shared" si="9"/>
        <v>0</v>
      </c>
      <c r="H38" s="26">
        <v>5000.0</v>
      </c>
      <c r="I38" s="26">
        <f t="shared" si="10"/>
        <v>5000</v>
      </c>
      <c r="J38" s="16">
        <v>45785.0</v>
      </c>
      <c r="K38" s="12"/>
      <c r="L38" s="17" t="s">
        <v>143</v>
      </c>
      <c r="M38" s="26">
        <f t="shared" si="11"/>
        <v>0</v>
      </c>
      <c r="N38" s="12"/>
      <c r="O38" s="29"/>
      <c r="P38" s="15">
        <f t="shared" si="12"/>
        <v>5000</v>
      </c>
      <c r="Q38" s="15"/>
    </row>
    <row r="39" ht="22.5" customHeight="1">
      <c r="A39" s="26">
        <v>38.0</v>
      </c>
      <c r="B39" s="12" t="str">
        <f>Usuarios!B39 &amp; " " &amp; Usuarios!C39 &amp; " " &amp; Usuarios!D39
</f>
        <v>Norma  Sanchez </v>
      </c>
      <c r="C39" s="26">
        <f t="shared" si="7"/>
        <v>0</v>
      </c>
      <c r="D39" s="27">
        <v>6.0</v>
      </c>
      <c r="E39" s="26">
        <f t="shared" si="8"/>
        <v>6</v>
      </c>
      <c r="F39" s="26">
        <v>1182.6</v>
      </c>
      <c r="G39" s="26">
        <f t="shared" si="9"/>
        <v>7095.6</v>
      </c>
      <c r="H39" s="26">
        <v>5000.0</v>
      </c>
      <c r="I39" s="26">
        <f t="shared" si="10"/>
        <v>12095.6</v>
      </c>
      <c r="J39" s="16">
        <v>45785.0</v>
      </c>
      <c r="K39" s="12"/>
      <c r="L39" s="17" t="s">
        <v>146</v>
      </c>
      <c r="M39" s="26">
        <f t="shared" si="11"/>
        <v>12095.6</v>
      </c>
      <c r="N39" s="12"/>
      <c r="O39" s="29"/>
      <c r="P39" s="15">
        <f t="shared" si="12"/>
        <v>0</v>
      </c>
      <c r="Q39" s="15"/>
    </row>
    <row r="40" ht="22.5" customHeight="1">
      <c r="A40" s="26">
        <v>39.0</v>
      </c>
      <c r="B40" s="12" t="str">
        <f>Usuarios!B40 &amp; " " &amp; Usuarios!C40 &amp; " " &amp; Usuarios!D40
</f>
        <v>Gloria  Alvarez </v>
      </c>
      <c r="C40" s="26">
        <f t="shared" si="7"/>
        <v>1</v>
      </c>
      <c r="D40" s="27">
        <v>5.0</v>
      </c>
      <c r="E40" s="26">
        <f t="shared" si="8"/>
        <v>4</v>
      </c>
      <c r="F40" s="26">
        <v>1182.6</v>
      </c>
      <c r="G40" s="26">
        <f t="shared" si="9"/>
        <v>4730.4</v>
      </c>
      <c r="H40" s="26">
        <v>5000.0</v>
      </c>
      <c r="I40" s="26">
        <f t="shared" si="10"/>
        <v>9730.4</v>
      </c>
      <c r="J40" s="16">
        <v>45785.0</v>
      </c>
      <c r="K40" s="12"/>
      <c r="L40" s="17" t="s">
        <v>143</v>
      </c>
      <c r="M40" s="26">
        <f t="shared" si="11"/>
        <v>0</v>
      </c>
      <c r="N40" s="12"/>
      <c r="O40" s="29"/>
      <c r="P40" s="15">
        <f t="shared" si="12"/>
        <v>9730.4</v>
      </c>
      <c r="Q40" s="15"/>
    </row>
    <row r="41" ht="22.5" customHeight="1">
      <c r="A41" s="26">
        <v>40.0</v>
      </c>
      <c r="B41" s="12" t="str">
        <f>Usuarios!B41 &amp; " " &amp; Usuarios!C41 &amp; " " &amp; Usuarios!D41
</f>
        <v>Gloria  Levil </v>
      </c>
      <c r="C41" s="26">
        <f t="shared" si="7"/>
        <v>92</v>
      </c>
      <c r="D41" s="27">
        <v>99.0</v>
      </c>
      <c r="E41" s="26">
        <f t="shared" si="8"/>
        <v>7</v>
      </c>
      <c r="F41" s="26">
        <v>1182.6</v>
      </c>
      <c r="G41" s="26">
        <f t="shared" si="9"/>
        <v>8278.2</v>
      </c>
      <c r="H41" s="26">
        <v>5000.0</v>
      </c>
      <c r="I41" s="26">
        <f t="shared" si="10"/>
        <v>13278.2</v>
      </c>
      <c r="J41" s="16">
        <v>45785.0</v>
      </c>
      <c r="K41" s="12"/>
      <c r="L41" s="17" t="s">
        <v>143</v>
      </c>
      <c r="M41" s="26">
        <f t="shared" si="11"/>
        <v>0</v>
      </c>
      <c r="N41" s="12"/>
      <c r="O41" s="29"/>
      <c r="P41" s="15">
        <f t="shared" si="12"/>
        <v>13278.2</v>
      </c>
      <c r="Q41" s="15"/>
    </row>
    <row r="42" ht="22.5" customHeight="1">
      <c r="A42" s="26">
        <v>41.0</v>
      </c>
      <c r="B42" s="12" t="str">
        <f>Usuarios!B42 &amp; " " &amp; Usuarios!C42 &amp; " " &amp; Usuarios!D42
</f>
        <v>Astrid  Gomez </v>
      </c>
      <c r="C42" s="26">
        <f t="shared" si="7"/>
        <v>97</v>
      </c>
      <c r="D42" s="27">
        <v>100.0</v>
      </c>
      <c r="E42" s="26">
        <f t="shared" si="8"/>
        <v>3</v>
      </c>
      <c r="F42" s="26">
        <v>1182.6</v>
      </c>
      <c r="G42" s="26">
        <f t="shared" si="9"/>
        <v>3547.8</v>
      </c>
      <c r="H42" s="26">
        <v>5000.0</v>
      </c>
      <c r="I42" s="26">
        <f t="shared" si="10"/>
        <v>8547.8</v>
      </c>
      <c r="J42" s="16">
        <v>45785.0</v>
      </c>
      <c r="K42" s="12"/>
      <c r="L42" s="17" t="s">
        <v>143</v>
      </c>
      <c r="M42" s="26">
        <f t="shared" si="11"/>
        <v>0</v>
      </c>
      <c r="N42" s="12"/>
      <c r="O42" s="29"/>
      <c r="P42" s="15">
        <f t="shared" si="12"/>
        <v>8547.8</v>
      </c>
      <c r="Q42" s="15"/>
    </row>
    <row r="43" ht="22.5" customHeight="1">
      <c r="A43" s="26">
        <v>42.0</v>
      </c>
      <c r="B43" s="12" t="str">
        <f>Usuarios!B43 &amp; " " &amp; Usuarios!C43 &amp; " " &amp; Usuarios!D43
</f>
        <v>Leo  Soto </v>
      </c>
      <c r="C43" s="26">
        <f t="shared" si="7"/>
        <v>10</v>
      </c>
      <c r="D43" s="27">
        <v>10.0</v>
      </c>
      <c r="E43" s="26">
        <f t="shared" si="8"/>
        <v>0</v>
      </c>
      <c r="F43" s="26">
        <v>1182.6</v>
      </c>
      <c r="G43" s="26">
        <f t="shared" si="9"/>
        <v>0</v>
      </c>
      <c r="H43" s="26">
        <v>5000.0</v>
      </c>
      <c r="I43" s="26">
        <f t="shared" si="10"/>
        <v>5000</v>
      </c>
      <c r="J43" s="16">
        <v>45785.0</v>
      </c>
      <c r="K43" s="12"/>
      <c r="L43" s="17" t="s">
        <v>143</v>
      </c>
      <c r="M43" s="26">
        <f t="shared" si="11"/>
        <v>0</v>
      </c>
      <c r="N43" s="12"/>
      <c r="O43" s="29"/>
      <c r="P43" s="15">
        <f t="shared" si="12"/>
        <v>5000</v>
      </c>
      <c r="Q43" s="15"/>
    </row>
    <row r="44" ht="22.5" customHeight="1">
      <c r="A44" s="26">
        <v>43.0</v>
      </c>
      <c r="B44" s="12" t="str">
        <f>Usuarios!B44 &amp; " " &amp; Usuarios!C44 &amp; " " &amp; Usuarios!D44
</f>
        <v>Ramon  Maldonado </v>
      </c>
      <c r="C44" s="26">
        <f t="shared" si="7"/>
        <v>0</v>
      </c>
      <c r="D44" s="27">
        <v>0.0</v>
      </c>
      <c r="E44" s="26">
        <f t="shared" si="8"/>
        <v>0</v>
      </c>
      <c r="F44" s="26">
        <v>1182.6</v>
      </c>
      <c r="G44" s="26">
        <f t="shared" si="9"/>
        <v>0</v>
      </c>
      <c r="H44" s="26">
        <v>5000.0</v>
      </c>
      <c r="I44" s="26">
        <f t="shared" si="10"/>
        <v>5000</v>
      </c>
      <c r="J44" s="16">
        <v>45785.0</v>
      </c>
      <c r="K44" s="12"/>
      <c r="L44" s="17" t="s">
        <v>146</v>
      </c>
      <c r="M44" s="26">
        <f t="shared" si="11"/>
        <v>5000</v>
      </c>
      <c r="N44" s="12"/>
      <c r="O44" s="29" t="s">
        <v>147</v>
      </c>
      <c r="P44" s="15">
        <f t="shared" si="12"/>
        <v>0</v>
      </c>
      <c r="Q44" s="15"/>
    </row>
    <row r="45" ht="22.5" customHeight="1">
      <c r="A45" s="26">
        <v>44.0</v>
      </c>
      <c r="B45" s="12" t="str">
        <f>Usuarios!B45 &amp; " " &amp; Usuarios!C45 &amp; " " &amp; Usuarios!D45
</f>
        <v>María Sonia  Quintui </v>
      </c>
      <c r="C45" s="26">
        <f t="shared" si="7"/>
        <v>0</v>
      </c>
      <c r="D45" s="27">
        <v>8.0</v>
      </c>
      <c r="E45" s="26">
        <f t="shared" si="8"/>
        <v>8</v>
      </c>
      <c r="F45" s="26">
        <v>1182.6</v>
      </c>
      <c r="G45" s="26">
        <f t="shared" si="9"/>
        <v>9460.8</v>
      </c>
      <c r="H45" s="26">
        <v>5000.0</v>
      </c>
      <c r="I45" s="26">
        <f t="shared" si="10"/>
        <v>14460.8</v>
      </c>
      <c r="J45" s="16">
        <v>45785.0</v>
      </c>
      <c r="K45" s="12"/>
      <c r="L45" s="17" t="s">
        <v>143</v>
      </c>
      <c r="M45" s="26">
        <f t="shared" si="11"/>
        <v>0</v>
      </c>
      <c r="N45" s="12"/>
      <c r="O45" s="29"/>
      <c r="P45" s="15">
        <f t="shared" si="12"/>
        <v>14460.8</v>
      </c>
      <c r="Q45" s="15"/>
    </row>
    <row r="46" ht="22.5" customHeight="1">
      <c r="A46" s="26">
        <v>45.0</v>
      </c>
      <c r="B46" s="12" t="str">
        <f>Usuarios!B46 &amp; " " &amp; Usuarios!C46 &amp; " " &amp; Usuarios!D46
</f>
        <v>Monica  Cuello </v>
      </c>
      <c r="C46" s="26">
        <f t="shared" si="7"/>
        <v>0</v>
      </c>
      <c r="D46" s="27">
        <v>0.0</v>
      </c>
      <c r="E46" s="26">
        <f t="shared" si="8"/>
        <v>0</v>
      </c>
      <c r="F46" s="26">
        <v>1182.6</v>
      </c>
      <c r="G46" s="26">
        <f t="shared" si="9"/>
        <v>0</v>
      </c>
      <c r="H46" s="26">
        <v>5000.0</v>
      </c>
      <c r="I46" s="26">
        <f t="shared" si="10"/>
        <v>5000</v>
      </c>
      <c r="J46" s="16">
        <v>45785.0</v>
      </c>
      <c r="K46" s="12"/>
      <c r="L46" s="17" t="s">
        <v>143</v>
      </c>
      <c r="M46" s="26">
        <f t="shared" si="11"/>
        <v>0</v>
      </c>
      <c r="N46" s="12"/>
      <c r="O46" s="29"/>
      <c r="P46" s="15">
        <f t="shared" si="12"/>
        <v>5000</v>
      </c>
      <c r="Q46" s="15"/>
    </row>
    <row r="47" ht="22.5" customHeight="1">
      <c r="A47" s="26">
        <v>46.0</v>
      </c>
      <c r="B47" s="12" t="str">
        <f>Usuarios!B47 &amp; " " &amp; Usuarios!C47 &amp; " " &amp; Usuarios!D47
</f>
        <v>Mauricio  Muñoz taller </v>
      </c>
      <c r="C47" s="26">
        <f t="shared" si="7"/>
        <v>0</v>
      </c>
      <c r="D47" s="27">
        <v>0.0</v>
      </c>
      <c r="E47" s="26">
        <f t="shared" si="8"/>
        <v>0</v>
      </c>
      <c r="F47" s="26">
        <v>1182.6</v>
      </c>
      <c r="G47" s="26">
        <f t="shared" si="9"/>
        <v>0</v>
      </c>
      <c r="H47" s="26">
        <v>5000.0</v>
      </c>
      <c r="I47" s="26">
        <f t="shared" si="10"/>
        <v>5000</v>
      </c>
      <c r="J47" s="16">
        <v>45785.0</v>
      </c>
      <c r="K47" s="12"/>
      <c r="L47" s="17" t="s">
        <v>143</v>
      </c>
      <c r="M47" s="26">
        <f t="shared" si="11"/>
        <v>0</v>
      </c>
      <c r="N47" s="12"/>
      <c r="O47" s="29"/>
      <c r="P47" s="15">
        <f t="shared" si="12"/>
        <v>5000</v>
      </c>
      <c r="Q47" s="15"/>
    </row>
    <row r="48" ht="22.5" customHeight="1">
      <c r="A48" s="26">
        <v>47.0</v>
      </c>
      <c r="B48" s="12" t="str">
        <f>Usuarios!B48 &amp; " " &amp; Usuarios!C48 &amp; " " &amp; Usuarios!D48
</f>
        <v>Pablo  Contreras </v>
      </c>
      <c r="C48" s="26">
        <f t="shared" si="7"/>
        <v>0</v>
      </c>
      <c r="D48" s="27">
        <v>0.0</v>
      </c>
      <c r="E48" s="26">
        <f t="shared" si="8"/>
        <v>0</v>
      </c>
      <c r="F48" s="26">
        <v>1182.6</v>
      </c>
      <c r="G48" s="26">
        <f t="shared" si="9"/>
        <v>0</v>
      </c>
      <c r="H48" s="26">
        <v>5000.0</v>
      </c>
      <c r="I48" s="26">
        <f t="shared" si="10"/>
        <v>5000</v>
      </c>
      <c r="J48" s="16">
        <v>45785.0</v>
      </c>
      <c r="K48" s="12"/>
      <c r="L48" s="17" t="s">
        <v>143</v>
      </c>
      <c r="M48" s="26">
        <f t="shared" si="11"/>
        <v>0</v>
      </c>
      <c r="N48" s="12"/>
      <c r="O48" s="29"/>
      <c r="P48" s="15">
        <f t="shared" si="12"/>
        <v>5000</v>
      </c>
      <c r="Q48" s="15"/>
    </row>
    <row r="49" ht="22.5" customHeight="1">
      <c r="A49" s="26">
        <v>48.0</v>
      </c>
      <c r="B49" s="12" t="str">
        <f>Usuarios!B49 &amp; " " &amp; Usuarios!C49 &amp; " " &amp; Usuarios!D49
</f>
        <v>Luis Vicente   Mondaca  Muñoz</v>
      </c>
      <c r="C49" s="26">
        <f t="shared" si="7"/>
        <v>281</v>
      </c>
      <c r="D49" s="27">
        <v>294.0</v>
      </c>
      <c r="E49" s="26">
        <f t="shared" si="8"/>
        <v>13</v>
      </c>
      <c r="F49" s="26">
        <v>1182.6</v>
      </c>
      <c r="G49" s="26">
        <f t="shared" si="9"/>
        <v>15373.8</v>
      </c>
      <c r="H49" s="26">
        <v>5000.0</v>
      </c>
      <c r="I49" s="26">
        <f t="shared" si="10"/>
        <v>20373.8</v>
      </c>
      <c r="J49" s="16">
        <v>45785.0</v>
      </c>
      <c r="K49" s="12"/>
      <c r="L49" s="17" t="s">
        <v>146</v>
      </c>
      <c r="M49" s="26">
        <f t="shared" si="11"/>
        <v>20373.8</v>
      </c>
      <c r="N49" s="12"/>
      <c r="O49" s="29"/>
      <c r="P49" s="15">
        <f t="shared" si="12"/>
        <v>0</v>
      </c>
      <c r="Q49" s="15"/>
    </row>
    <row r="50" ht="22.5" customHeight="1">
      <c r="A50" s="26">
        <v>49.0</v>
      </c>
      <c r="B50" s="12" t="str">
        <f>Usuarios!B50 &amp; " " &amp; Usuarios!C50 &amp; " " &amp; Usuarios!D50
</f>
        <v>Rosa  Nuñez </v>
      </c>
      <c r="C50" s="26">
        <f t="shared" si="7"/>
        <v>80</v>
      </c>
      <c r="D50" s="27">
        <v>82.0</v>
      </c>
      <c r="E50" s="26">
        <f t="shared" si="8"/>
        <v>2</v>
      </c>
      <c r="F50" s="26">
        <v>1182.6</v>
      </c>
      <c r="G50" s="26">
        <f t="shared" si="9"/>
        <v>2365.2</v>
      </c>
      <c r="H50" s="26">
        <v>5000.0</v>
      </c>
      <c r="I50" s="26">
        <f t="shared" si="10"/>
        <v>7365.2</v>
      </c>
      <c r="J50" s="16">
        <v>45785.0</v>
      </c>
      <c r="K50" s="12"/>
      <c r="L50" s="17" t="s">
        <v>143</v>
      </c>
      <c r="M50" s="26">
        <f t="shared" si="11"/>
        <v>0</v>
      </c>
      <c r="N50" s="12"/>
      <c r="O50" s="29"/>
      <c r="P50" s="15">
        <f t="shared" si="12"/>
        <v>7365.2</v>
      </c>
      <c r="Q50" s="15"/>
    </row>
    <row r="51" ht="22.5" customHeight="1">
      <c r="A51" s="26">
        <v>50.0</v>
      </c>
      <c r="B51" s="12" t="str">
        <f>Usuarios!B51 &amp; " " &amp; Usuarios!C51 &amp; " " &amp; Usuarios!D51
</f>
        <v>Gloria Isamar  Velasquez  Almonacid</v>
      </c>
      <c r="C51" s="26">
        <f t="shared" si="7"/>
        <v>35</v>
      </c>
      <c r="D51" s="27">
        <v>42.0</v>
      </c>
      <c r="E51" s="26">
        <f t="shared" si="8"/>
        <v>7</v>
      </c>
      <c r="F51" s="26">
        <v>1182.6</v>
      </c>
      <c r="G51" s="26">
        <f t="shared" si="9"/>
        <v>8278.2</v>
      </c>
      <c r="H51" s="26">
        <v>5000.0</v>
      </c>
      <c r="I51" s="26">
        <f t="shared" si="10"/>
        <v>13278.2</v>
      </c>
      <c r="J51" s="16">
        <v>45785.0</v>
      </c>
      <c r="K51" s="12"/>
      <c r="L51" s="17" t="s">
        <v>143</v>
      </c>
      <c r="M51" s="26">
        <f t="shared" si="11"/>
        <v>0</v>
      </c>
      <c r="N51" s="12"/>
      <c r="O51" s="29"/>
      <c r="P51" s="15">
        <f t="shared" si="12"/>
        <v>13278.2</v>
      </c>
      <c r="Q51" s="15"/>
    </row>
    <row r="52" ht="22.5" customHeight="1">
      <c r="A52" s="26">
        <v>51.0</v>
      </c>
      <c r="B52" s="12" t="str">
        <f>Usuarios!B52 &amp; " " &amp; Usuarios!C52 &amp; " " &amp; Usuarios!D52
</f>
        <v>Maria  Manquian </v>
      </c>
      <c r="C52" s="26">
        <f t="shared" si="7"/>
        <v>0</v>
      </c>
      <c r="D52" s="27">
        <v>0.0</v>
      </c>
      <c r="E52" s="26">
        <f t="shared" si="8"/>
        <v>0</v>
      </c>
      <c r="F52" s="26">
        <v>1182.6</v>
      </c>
      <c r="G52" s="26">
        <f t="shared" si="9"/>
        <v>0</v>
      </c>
      <c r="H52" s="26">
        <v>5000.0</v>
      </c>
      <c r="I52" s="26">
        <f t="shared" si="10"/>
        <v>5000</v>
      </c>
      <c r="J52" s="16">
        <v>45785.0</v>
      </c>
      <c r="K52" s="12"/>
      <c r="L52" s="17" t="s">
        <v>146</v>
      </c>
      <c r="M52" s="26">
        <f t="shared" si="11"/>
        <v>5000</v>
      </c>
      <c r="N52" s="12"/>
      <c r="O52" s="29" t="s">
        <v>147</v>
      </c>
      <c r="P52" s="15">
        <f t="shared" si="12"/>
        <v>0</v>
      </c>
      <c r="Q52" s="15"/>
    </row>
    <row r="53" ht="22.5" customHeight="1">
      <c r="A53" s="26">
        <v>52.0</v>
      </c>
      <c r="B53" s="12" t="str">
        <f>Usuarios!B53 &amp; " " &amp; Usuarios!C53 &amp; " " &amp; Usuarios!D53
</f>
        <v>Esteban  Oyarzo  Levil</v>
      </c>
      <c r="C53" s="26">
        <f t="shared" si="7"/>
        <v>0</v>
      </c>
      <c r="D53" s="27">
        <v>0.0</v>
      </c>
      <c r="E53" s="26">
        <f t="shared" si="8"/>
        <v>0</v>
      </c>
      <c r="F53" s="26">
        <v>1182.6</v>
      </c>
      <c r="G53" s="26">
        <f t="shared" si="9"/>
        <v>0</v>
      </c>
      <c r="H53" s="26">
        <v>5000.0</v>
      </c>
      <c r="I53" s="26">
        <f t="shared" si="10"/>
        <v>5000</v>
      </c>
      <c r="J53" s="16">
        <v>45785.0</v>
      </c>
      <c r="K53" s="12"/>
      <c r="L53" s="17" t="s">
        <v>143</v>
      </c>
      <c r="M53" s="26">
        <f t="shared" si="11"/>
        <v>0</v>
      </c>
      <c r="N53" s="12"/>
      <c r="O53" s="29"/>
      <c r="P53" s="15">
        <f t="shared" si="12"/>
        <v>5000</v>
      </c>
      <c r="Q53" s="15"/>
    </row>
    <row r="54" ht="22.5" customHeight="1">
      <c r="A54" s="26">
        <v>53.0</v>
      </c>
      <c r="B54" s="12" t="str">
        <f>Usuarios!B54 &amp; " " &amp; Usuarios!C54 &amp; " " &amp; Usuarios!D54
</f>
        <v>Nicolas Andres  Cardenas Bustamante</v>
      </c>
      <c r="C54" s="26">
        <f t="shared" si="7"/>
        <v>0</v>
      </c>
      <c r="D54" s="27">
        <v>0.0</v>
      </c>
      <c r="E54" s="26">
        <f t="shared" si="8"/>
        <v>0</v>
      </c>
      <c r="F54" s="26">
        <v>1182.6</v>
      </c>
      <c r="G54" s="26">
        <f t="shared" si="9"/>
        <v>0</v>
      </c>
      <c r="H54" s="26">
        <v>5000.0</v>
      </c>
      <c r="I54" s="26">
        <f t="shared" si="10"/>
        <v>5000</v>
      </c>
      <c r="J54" s="16">
        <v>45785.0</v>
      </c>
      <c r="K54" s="12"/>
      <c r="L54" s="17" t="s">
        <v>146</v>
      </c>
      <c r="M54" s="26">
        <f t="shared" si="11"/>
        <v>5000</v>
      </c>
      <c r="N54" s="12"/>
      <c r="O54" s="29"/>
      <c r="P54" s="15">
        <f t="shared" si="12"/>
        <v>0</v>
      </c>
      <c r="Q54" s="15"/>
    </row>
    <row r="55" ht="22.5" customHeight="1">
      <c r="A55" s="26">
        <v>54.0</v>
      </c>
      <c r="B55" s="12" t="str">
        <f>Usuarios!B55 &amp; " " &amp; Usuarios!C55 &amp; " " &amp; Usuarios!D55
</f>
        <v>Rosa  Mancilla </v>
      </c>
      <c r="C55" s="26">
        <f t="shared" si="7"/>
        <v>106</v>
      </c>
      <c r="D55" s="27">
        <v>106.0</v>
      </c>
      <c r="E55" s="26">
        <f t="shared" si="8"/>
        <v>0</v>
      </c>
      <c r="F55" s="26">
        <v>1182.6</v>
      </c>
      <c r="G55" s="26">
        <f t="shared" si="9"/>
        <v>0</v>
      </c>
      <c r="H55" s="26">
        <v>5000.0</v>
      </c>
      <c r="I55" s="26">
        <f t="shared" si="10"/>
        <v>5000</v>
      </c>
      <c r="J55" s="16">
        <v>45785.0</v>
      </c>
      <c r="K55" s="12"/>
      <c r="L55" s="17" t="s">
        <v>143</v>
      </c>
      <c r="M55" s="26">
        <f t="shared" si="11"/>
        <v>0</v>
      </c>
      <c r="N55" s="12"/>
      <c r="O55" s="29"/>
      <c r="P55" s="15">
        <f t="shared" si="12"/>
        <v>5000</v>
      </c>
      <c r="Q55" s="15"/>
    </row>
    <row r="56" ht="22.5" customHeight="1">
      <c r="A56" s="26">
        <v>55.0</v>
      </c>
      <c r="B56" s="12" t="str">
        <f>Usuarios!B56 &amp; " " &amp; Usuarios!C56 &amp; " " &amp; Usuarios!D56
</f>
        <v>Guido  Quintuy - Sitio vacío </v>
      </c>
      <c r="C56" s="26">
        <f t="shared" si="7"/>
        <v>0</v>
      </c>
      <c r="D56" s="27">
        <v>0.0</v>
      </c>
      <c r="E56" s="26">
        <f t="shared" si="8"/>
        <v>0</v>
      </c>
      <c r="F56" s="26">
        <v>1182.6</v>
      </c>
      <c r="G56" s="26">
        <f t="shared" si="9"/>
        <v>0</v>
      </c>
      <c r="H56" s="26">
        <v>5000.0</v>
      </c>
      <c r="I56" s="26">
        <f t="shared" si="10"/>
        <v>5000</v>
      </c>
      <c r="J56" s="16">
        <v>45785.0</v>
      </c>
      <c r="K56" s="12"/>
      <c r="L56" s="17" t="s">
        <v>143</v>
      </c>
      <c r="M56" s="26">
        <f t="shared" si="11"/>
        <v>0</v>
      </c>
      <c r="N56" s="12"/>
      <c r="O56" s="29"/>
      <c r="P56" s="15">
        <f t="shared" si="12"/>
        <v>5000</v>
      </c>
      <c r="Q56" s="15"/>
    </row>
    <row r="57" ht="22.5" customHeight="1">
      <c r="A57" s="26">
        <v>56.0</v>
      </c>
      <c r="B57" s="12" t="str">
        <f>Usuarios!B57 &amp; " " &amp; Usuarios!C57 &amp; " " &amp; Usuarios!D57
</f>
        <v>Mario  Velasquez </v>
      </c>
      <c r="C57" s="26">
        <f t="shared" si="7"/>
        <v>17</v>
      </c>
      <c r="D57" s="27">
        <v>22.0</v>
      </c>
      <c r="E57" s="26">
        <f t="shared" si="8"/>
        <v>5</v>
      </c>
      <c r="F57" s="26">
        <v>1182.6</v>
      </c>
      <c r="G57" s="26">
        <f t="shared" si="9"/>
        <v>5913</v>
      </c>
      <c r="H57" s="26">
        <v>5000.0</v>
      </c>
      <c r="I57" s="26">
        <f t="shared" si="10"/>
        <v>10913</v>
      </c>
      <c r="J57" s="16">
        <v>45785.0</v>
      </c>
      <c r="K57" s="12"/>
      <c r="L57" s="17" t="s">
        <v>146</v>
      </c>
      <c r="M57" s="26">
        <f t="shared" si="11"/>
        <v>10913</v>
      </c>
      <c r="N57" s="12"/>
      <c r="O57" s="29"/>
      <c r="P57" s="15">
        <f t="shared" si="12"/>
        <v>0</v>
      </c>
      <c r="Q57" s="15"/>
    </row>
    <row r="58" ht="22.5" customHeight="1">
      <c r="A58" s="26">
        <v>57.0</v>
      </c>
      <c r="B58" s="12" t="str">
        <f>Usuarios!B58 &amp; " " &amp; Usuarios!C58 &amp; " " &amp; Usuarios!D58
</f>
        <v>Lishby  Fuentes  Diaz</v>
      </c>
      <c r="C58" s="26">
        <f t="shared" si="7"/>
        <v>0</v>
      </c>
      <c r="D58" s="28">
        <v>0.0</v>
      </c>
      <c r="E58" s="26">
        <f t="shared" si="8"/>
        <v>0</v>
      </c>
      <c r="F58" s="26">
        <v>1182.6</v>
      </c>
      <c r="G58" s="26">
        <f t="shared" si="9"/>
        <v>0</v>
      </c>
      <c r="H58" s="26">
        <v>5000.0</v>
      </c>
      <c r="I58" s="26">
        <f t="shared" si="10"/>
        <v>5000</v>
      </c>
      <c r="J58" s="16">
        <v>45785.0</v>
      </c>
      <c r="K58" s="12"/>
      <c r="L58" s="17" t="s">
        <v>144</v>
      </c>
      <c r="M58" s="26">
        <f t="shared" si="11"/>
        <v>0</v>
      </c>
      <c r="N58" s="12"/>
      <c r="O58" s="29"/>
      <c r="P58" s="15">
        <f t="shared" si="12"/>
        <v>0</v>
      </c>
      <c r="Q58" s="15"/>
    </row>
  </sheetData>
  <conditionalFormatting sqref="Q2:Q21 Q23:Q58">
    <cfRule type="containsText" dxfId="8" priority="1" operator="containsText" text="NO APLICA">
      <formula>NOT(ISERROR(SEARCH(("NO APLICA"),(Q2))))</formula>
    </cfRule>
  </conditionalFormatting>
  <conditionalFormatting sqref="Q2:Q21 Q23:Q58">
    <cfRule type="containsText" dxfId="8" priority="2" operator="containsText" text="NO APLICA">
      <formula>NOT(ISERROR(SEARCH(("NO APLICA"),(Q2))))</formula>
    </cfRule>
  </conditionalFormatting>
  <conditionalFormatting sqref="L2:L21 L23:L58">
    <cfRule type="containsText" dxfId="6" priority="3" operator="containsText" text="PENDIENTE">
      <formula>NOT(ISERROR(SEARCH(("PENDIENTE"),(L2))))</formula>
    </cfRule>
  </conditionalFormatting>
  <conditionalFormatting sqref="L2:L21 L23:L58">
    <cfRule type="containsText" dxfId="7" priority="4" operator="containsText" text="PAGADO">
      <formula>NOT(ISERROR(SEARCH(("PAGADO"),(L2))))</formula>
    </cfRule>
  </conditionalFormatting>
  <dataValidations>
    <dataValidation type="custom" allowBlank="1" showDropDown="1" sqref="P2:P58">
      <formula1>AND(ISNUMBER(P2),(NOT(OR(NOT(ISERROR(DATEVALUE(P2))), AND(ISNUMBER(P2), LEFT(CELL("format", P2))="D")))))</formula1>
    </dataValidation>
    <dataValidation type="list" allowBlank="1" sqref="O2:O58">
      <formula1>"EFECTIVO,TRANSFERENCIA,CHEQUE,TARJETA"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1.0"/>
    <col customWidth="1" min="3" max="3" width="29.29"/>
    <col customWidth="1" min="4" max="4" width="19.29"/>
    <col customWidth="1" min="5" max="5" width="18.29"/>
    <col customWidth="1" min="6" max="6" width="14.86"/>
    <col customWidth="1" min="7" max="7" width="22.86"/>
    <col customWidth="1" min="8" max="8" width="15.43"/>
    <col customWidth="1" min="9" max="9" width="18.0"/>
    <col customWidth="1" min="10" max="10" width="18.71"/>
    <col customWidth="1" min="11" max="11" width="23.29"/>
    <col customWidth="1" min="12" max="12" width="21.14"/>
    <col customWidth="1" min="13" max="13" width="19.57"/>
    <col customWidth="1" min="14" max="14" width="16.57"/>
    <col customWidth="1" min="15" max="15" width="20.86"/>
    <col customWidth="1" min="16" max="16" width="25.86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26">
        <v>1.0</v>
      </c>
      <c r="B2" s="12" t="str">
        <f>Usuarios!B2 &amp; " " &amp; Usuarios!C2 &amp; " " &amp; Usuarios!D2
</f>
        <v>Nancy Zuñiga Villarroel</v>
      </c>
      <c r="C2" s="26">
        <f t="shared" ref="C2:C21" si="1">INDEX(INDIRECT("'" &amp; TEXT(EDATE(J2,-2),"mm-yyyy") &amp; "'!D:D"),
   MATCH(A2,INDIRECT("'" &amp; TEXT(EDATE(J2,-2),"mm-yyyy") &amp; "'!A:A"),0))
</f>
        <v>200</v>
      </c>
      <c r="D2" s="27">
        <v>212.0</v>
      </c>
      <c r="E2" s="26">
        <f t="shared" ref="E2:E21" si="2">D2-C2</f>
        <v>12</v>
      </c>
      <c r="F2" s="26">
        <v>1182.6</v>
      </c>
      <c r="G2" s="26">
        <f t="shared" ref="G2:G21" si="3">E2*F2</f>
        <v>14191.2</v>
      </c>
      <c r="H2" s="26">
        <v>5000.0</v>
      </c>
      <c r="I2" s="26">
        <f t="shared" ref="I2:I21" si="4">E2*F2+H2</f>
        <v>19191.2</v>
      </c>
      <c r="J2" s="16">
        <v>45816.0</v>
      </c>
      <c r="K2" s="12"/>
      <c r="L2" s="17" t="s">
        <v>143</v>
      </c>
      <c r="M2" s="26">
        <f t="shared" ref="M2:M21" si="5">IF(L2="Pagado", I2, 0)</f>
        <v>0</v>
      </c>
      <c r="N2" s="12"/>
      <c r="O2" s="29"/>
      <c r="P2" s="15">
        <f t="shared" ref="P2:P21" si="6">IF(L2="NO APLICA",0, (I2-M2))</f>
        <v>19191.2</v>
      </c>
      <c r="Q2" s="15"/>
    </row>
    <row r="3" ht="22.5" customHeight="1">
      <c r="A3" s="26">
        <v>2.0</v>
      </c>
      <c r="B3" s="12" t="str">
        <f>Usuarios!B3 &amp; " " &amp; Usuarios!C3 &amp; " " &amp; Usuarios!D3
</f>
        <v>Gabriel Barria Zuñiga</v>
      </c>
      <c r="C3" s="26">
        <f t="shared" si="1"/>
        <v>309</v>
      </c>
      <c r="D3" s="27">
        <v>334.0</v>
      </c>
      <c r="E3" s="26">
        <f t="shared" si="2"/>
        <v>25</v>
      </c>
      <c r="F3" s="26">
        <v>1182.6</v>
      </c>
      <c r="G3" s="26">
        <f t="shared" si="3"/>
        <v>29565</v>
      </c>
      <c r="H3" s="26">
        <v>5000.0</v>
      </c>
      <c r="I3" s="26">
        <f t="shared" si="4"/>
        <v>34565</v>
      </c>
      <c r="J3" s="16">
        <v>45816.0</v>
      </c>
      <c r="K3" s="12"/>
      <c r="L3" s="17" t="s">
        <v>143</v>
      </c>
      <c r="M3" s="26">
        <f t="shared" si="5"/>
        <v>0</v>
      </c>
      <c r="N3" s="12"/>
      <c r="O3" s="29"/>
      <c r="P3" s="15">
        <f t="shared" si="6"/>
        <v>34565</v>
      </c>
      <c r="Q3" s="15"/>
    </row>
    <row r="4" ht="22.5" customHeight="1">
      <c r="A4" s="26">
        <v>3.0</v>
      </c>
      <c r="B4" s="12" t="str">
        <f>Usuarios!B4 &amp; " " &amp; Usuarios!C4 &amp; " " &amp; Usuarios!D4
</f>
        <v>Gino  Reyes </v>
      </c>
      <c r="C4" s="26">
        <f t="shared" si="1"/>
        <v>69</v>
      </c>
      <c r="D4" s="27">
        <v>75.0</v>
      </c>
      <c r="E4" s="26">
        <f t="shared" si="2"/>
        <v>6</v>
      </c>
      <c r="F4" s="26">
        <v>1182.6</v>
      </c>
      <c r="G4" s="26">
        <f t="shared" si="3"/>
        <v>7095.6</v>
      </c>
      <c r="H4" s="26">
        <v>5000.0</v>
      </c>
      <c r="I4" s="26">
        <f t="shared" si="4"/>
        <v>12095.6</v>
      </c>
      <c r="J4" s="16">
        <v>45816.0</v>
      </c>
      <c r="K4" s="12"/>
      <c r="L4" s="17" t="s">
        <v>143</v>
      </c>
      <c r="M4" s="26">
        <f t="shared" si="5"/>
        <v>0</v>
      </c>
      <c r="N4" s="12"/>
      <c r="O4" s="29"/>
      <c r="P4" s="15">
        <f t="shared" si="6"/>
        <v>12095.6</v>
      </c>
      <c r="Q4" s="15"/>
    </row>
    <row r="5" ht="22.5" customHeight="1">
      <c r="A5" s="26">
        <v>4.0</v>
      </c>
      <c r="B5" s="12" t="str">
        <f>Usuarios!B5 &amp; " " &amp; Usuarios!C5 &amp; " " &amp; Usuarios!D5
</f>
        <v>Cristian  Oyarzo </v>
      </c>
      <c r="C5" s="26">
        <f t="shared" si="1"/>
        <v>518</v>
      </c>
      <c r="D5" s="27">
        <v>553.0</v>
      </c>
      <c r="E5" s="26">
        <f t="shared" si="2"/>
        <v>35</v>
      </c>
      <c r="F5" s="26">
        <v>1182.6</v>
      </c>
      <c r="G5" s="26">
        <f t="shared" si="3"/>
        <v>41391</v>
      </c>
      <c r="H5" s="26">
        <v>5000.0</v>
      </c>
      <c r="I5" s="26">
        <f t="shared" si="4"/>
        <v>46391</v>
      </c>
      <c r="J5" s="16">
        <v>45816.0</v>
      </c>
      <c r="K5" s="12"/>
      <c r="L5" s="17" t="s">
        <v>143</v>
      </c>
      <c r="M5" s="26">
        <f t="shared" si="5"/>
        <v>0</v>
      </c>
      <c r="N5" s="12"/>
      <c r="O5" s="29"/>
      <c r="P5" s="15">
        <f t="shared" si="6"/>
        <v>46391</v>
      </c>
      <c r="Q5" s="15"/>
    </row>
    <row r="6" ht="22.5" customHeight="1">
      <c r="A6" s="26">
        <v>5.0</v>
      </c>
      <c r="B6" s="12" t="str">
        <f>Usuarios!B6 &amp; " " &amp; Usuarios!C6 &amp; " " &amp; Usuarios!D6
</f>
        <v>Marisol  Castro </v>
      </c>
      <c r="C6" s="26">
        <f t="shared" si="1"/>
        <v>110</v>
      </c>
      <c r="D6" s="27">
        <v>117.0</v>
      </c>
      <c r="E6" s="26">
        <f t="shared" si="2"/>
        <v>7</v>
      </c>
      <c r="F6" s="26">
        <v>1182.6</v>
      </c>
      <c r="G6" s="26">
        <f t="shared" si="3"/>
        <v>8278.2</v>
      </c>
      <c r="H6" s="26">
        <v>5000.0</v>
      </c>
      <c r="I6" s="26">
        <f t="shared" si="4"/>
        <v>13278.2</v>
      </c>
      <c r="J6" s="16">
        <v>45816.0</v>
      </c>
      <c r="K6" s="12"/>
      <c r="L6" s="17" t="s">
        <v>143</v>
      </c>
      <c r="M6" s="26">
        <f t="shared" si="5"/>
        <v>0</v>
      </c>
      <c r="N6" s="12"/>
      <c r="O6" s="29"/>
      <c r="P6" s="15">
        <f t="shared" si="6"/>
        <v>13278.2</v>
      </c>
      <c r="Q6" s="15"/>
    </row>
    <row r="7" ht="22.5" customHeight="1">
      <c r="A7" s="26">
        <v>6.0</v>
      </c>
      <c r="B7" s="12" t="str">
        <f>Usuarios!B7 &amp; " " &amp; Usuarios!C7 &amp; " " &amp; Usuarios!D7
</f>
        <v>Mauricio  Muñoz </v>
      </c>
      <c r="C7" s="26">
        <f t="shared" si="1"/>
        <v>203</v>
      </c>
      <c r="D7" s="27">
        <v>208.0</v>
      </c>
      <c r="E7" s="26">
        <f t="shared" si="2"/>
        <v>5</v>
      </c>
      <c r="F7" s="26">
        <v>1182.6</v>
      </c>
      <c r="G7" s="26">
        <f t="shared" si="3"/>
        <v>5913</v>
      </c>
      <c r="H7" s="26">
        <v>5000.0</v>
      </c>
      <c r="I7" s="26">
        <f t="shared" si="4"/>
        <v>10913</v>
      </c>
      <c r="J7" s="16">
        <v>45816.0</v>
      </c>
      <c r="K7" s="12"/>
      <c r="L7" s="17" t="s">
        <v>143</v>
      </c>
      <c r="M7" s="26">
        <f t="shared" si="5"/>
        <v>0</v>
      </c>
      <c r="N7" s="12"/>
      <c r="O7" s="29"/>
      <c r="P7" s="15">
        <f t="shared" si="6"/>
        <v>10913</v>
      </c>
      <c r="Q7" s="15"/>
    </row>
    <row r="8" ht="22.5" customHeight="1">
      <c r="A8" s="26">
        <v>7.0</v>
      </c>
      <c r="B8" s="12" t="str">
        <f>Usuarios!B8 &amp; " " &amp; Usuarios!C8 &amp; " " &amp; Usuarios!D8
</f>
        <v>Marcelo  Millanao </v>
      </c>
      <c r="C8" s="26">
        <f t="shared" si="1"/>
        <v>249</v>
      </c>
      <c r="D8" s="27">
        <v>263.0</v>
      </c>
      <c r="E8" s="26">
        <f t="shared" si="2"/>
        <v>14</v>
      </c>
      <c r="F8" s="26">
        <v>1182.6</v>
      </c>
      <c r="G8" s="26">
        <f t="shared" si="3"/>
        <v>16556.4</v>
      </c>
      <c r="H8" s="26">
        <v>5000.0</v>
      </c>
      <c r="I8" s="26">
        <f t="shared" si="4"/>
        <v>21556.4</v>
      </c>
      <c r="J8" s="16">
        <v>45816.0</v>
      </c>
      <c r="K8" s="12"/>
      <c r="L8" s="17" t="s">
        <v>143</v>
      </c>
      <c r="M8" s="26">
        <f t="shared" si="5"/>
        <v>0</v>
      </c>
      <c r="N8" s="12"/>
      <c r="O8" s="29"/>
      <c r="P8" s="15">
        <f t="shared" si="6"/>
        <v>21556.4</v>
      </c>
      <c r="Q8" s="15"/>
    </row>
    <row r="9" ht="22.5" customHeight="1">
      <c r="A9" s="26">
        <v>8.0</v>
      </c>
      <c r="B9" s="12" t="str">
        <f>Usuarios!B9 &amp; " " &amp; Usuarios!C9 &amp; " " &amp; Usuarios!D9
</f>
        <v>Gabriel  Farias </v>
      </c>
      <c r="C9" s="26">
        <f t="shared" si="1"/>
        <v>453</v>
      </c>
      <c r="D9" s="27">
        <v>482.0</v>
      </c>
      <c r="E9" s="26">
        <f t="shared" si="2"/>
        <v>29</v>
      </c>
      <c r="F9" s="26">
        <v>1182.6</v>
      </c>
      <c r="G9" s="26">
        <f t="shared" si="3"/>
        <v>34295.4</v>
      </c>
      <c r="H9" s="26">
        <v>5000.0</v>
      </c>
      <c r="I9" s="26">
        <f t="shared" si="4"/>
        <v>39295.4</v>
      </c>
      <c r="J9" s="16">
        <v>45816.0</v>
      </c>
      <c r="K9" s="12"/>
      <c r="L9" s="17" t="s">
        <v>143</v>
      </c>
      <c r="M9" s="26">
        <f t="shared" si="5"/>
        <v>0</v>
      </c>
      <c r="N9" s="12"/>
      <c r="O9" s="29"/>
      <c r="P9" s="15">
        <f t="shared" si="6"/>
        <v>39295.4</v>
      </c>
      <c r="Q9" s="15"/>
    </row>
    <row r="10" ht="22.5" customHeight="1">
      <c r="A10" s="26">
        <v>9.0</v>
      </c>
      <c r="B10" s="12" t="str">
        <f>Usuarios!B10 &amp; " " &amp; Usuarios!C10 &amp; " " &amp; Usuarios!D10
</f>
        <v>Maria  Marin </v>
      </c>
      <c r="C10" s="26">
        <f t="shared" si="1"/>
        <v>182</v>
      </c>
      <c r="D10" s="27">
        <v>193.0</v>
      </c>
      <c r="E10" s="26">
        <f t="shared" si="2"/>
        <v>11</v>
      </c>
      <c r="F10" s="26">
        <v>1182.6</v>
      </c>
      <c r="G10" s="26">
        <f t="shared" si="3"/>
        <v>13008.6</v>
      </c>
      <c r="H10" s="26">
        <v>5000.0</v>
      </c>
      <c r="I10" s="26">
        <f t="shared" si="4"/>
        <v>18008.6</v>
      </c>
      <c r="J10" s="16">
        <v>45816.0</v>
      </c>
      <c r="K10" s="12"/>
      <c r="L10" s="17" t="s">
        <v>143</v>
      </c>
      <c r="M10" s="26">
        <f t="shared" si="5"/>
        <v>0</v>
      </c>
      <c r="N10" s="12"/>
      <c r="O10" s="29"/>
      <c r="P10" s="15">
        <f t="shared" si="6"/>
        <v>18008.6</v>
      </c>
      <c r="Q10" s="15"/>
    </row>
    <row r="11" ht="22.5" customHeight="1">
      <c r="A11" s="26">
        <v>10.0</v>
      </c>
      <c r="B11" s="12" t="str">
        <f>Usuarios!B11 &amp; " " &amp; Usuarios!C11 &amp; " " &amp; Usuarios!D11
</f>
        <v>David  Cartes </v>
      </c>
      <c r="C11" s="26">
        <f t="shared" si="1"/>
        <v>118</v>
      </c>
      <c r="D11" s="27">
        <v>130.0</v>
      </c>
      <c r="E11" s="26">
        <f t="shared" si="2"/>
        <v>12</v>
      </c>
      <c r="F11" s="26">
        <v>1182.6</v>
      </c>
      <c r="G11" s="26">
        <f t="shared" si="3"/>
        <v>14191.2</v>
      </c>
      <c r="H11" s="26">
        <v>5000.0</v>
      </c>
      <c r="I11" s="26">
        <f t="shared" si="4"/>
        <v>19191.2</v>
      </c>
      <c r="J11" s="16">
        <v>45816.0</v>
      </c>
      <c r="K11" s="12"/>
      <c r="L11" s="17" t="s">
        <v>143</v>
      </c>
      <c r="M11" s="26">
        <f t="shared" si="5"/>
        <v>0</v>
      </c>
      <c r="N11" s="12"/>
      <c r="O11" s="29"/>
      <c r="P11" s="15">
        <f t="shared" si="6"/>
        <v>19191.2</v>
      </c>
      <c r="Q11" s="15"/>
    </row>
    <row r="12" ht="22.5" customHeight="1">
      <c r="A12" s="26">
        <v>11.0</v>
      </c>
      <c r="B12" s="12" t="str">
        <f>Usuarios!B12 &amp; " " &amp; Usuarios!C12 &amp; " " &amp; Usuarios!D12
</f>
        <v>Miguel  Ñanco </v>
      </c>
      <c r="C12" s="26">
        <f t="shared" si="1"/>
        <v>240</v>
      </c>
      <c r="D12" s="27">
        <v>240.0</v>
      </c>
      <c r="E12" s="26">
        <f t="shared" si="2"/>
        <v>0</v>
      </c>
      <c r="F12" s="26">
        <v>1182.6</v>
      </c>
      <c r="G12" s="26">
        <f t="shared" si="3"/>
        <v>0</v>
      </c>
      <c r="H12" s="26">
        <v>5000.0</v>
      </c>
      <c r="I12" s="26">
        <f t="shared" si="4"/>
        <v>5000</v>
      </c>
      <c r="J12" s="16">
        <v>45816.0</v>
      </c>
      <c r="K12" s="12"/>
      <c r="L12" s="17" t="s">
        <v>143</v>
      </c>
      <c r="M12" s="26">
        <f t="shared" si="5"/>
        <v>0</v>
      </c>
      <c r="N12" s="12"/>
      <c r="O12" s="29"/>
      <c r="P12" s="15">
        <f t="shared" si="6"/>
        <v>5000</v>
      </c>
      <c r="Q12" s="15"/>
    </row>
    <row r="13" ht="22.5" customHeight="1">
      <c r="A13" s="26">
        <v>12.0</v>
      </c>
      <c r="B13" s="12" t="str">
        <f>Usuarios!B13 &amp; " " &amp; Usuarios!C13 &amp; " " &amp; Usuarios!D13
</f>
        <v>Pedro  Contreras </v>
      </c>
      <c r="C13" s="26">
        <f t="shared" si="1"/>
        <v>113</v>
      </c>
      <c r="D13" s="27">
        <v>122.0</v>
      </c>
      <c r="E13" s="26">
        <f t="shared" si="2"/>
        <v>9</v>
      </c>
      <c r="F13" s="26">
        <v>1182.6</v>
      </c>
      <c r="G13" s="26">
        <f t="shared" si="3"/>
        <v>10643.4</v>
      </c>
      <c r="H13" s="26">
        <v>5000.0</v>
      </c>
      <c r="I13" s="26">
        <f t="shared" si="4"/>
        <v>15643.4</v>
      </c>
      <c r="J13" s="16">
        <v>45816.0</v>
      </c>
      <c r="K13" s="12"/>
      <c r="L13" s="17" t="s">
        <v>143</v>
      </c>
      <c r="M13" s="26">
        <f t="shared" si="5"/>
        <v>0</v>
      </c>
      <c r="N13" s="12"/>
      <c r="O13" s="29"/>
      <c r="P13" s="15">
        <f t="shared" si="6"/>
        <v>15643.4</v>
      </c>
      <c r="Q13" s="15"/>
    </row>
    <row r="14" ht="22.5" customHeight="1">
      <c r="A14" s="26">
        <v>13.0</v>
      </c>
      <c r="B14" s="12" t="str">
        <f>Usuarios!B14 &amp; " " &amp; Usuarios!C14 &amp; " " &amp; Usuarios!D14
</f>
        <v>Carlos  Gamin </v>
      </c>
      <c r="C14" s="26">
        <f t="shared" si="1"/>
        <v>192</v>
      </c>
      <c r="D14" s="27">
        <v>202.0</v>
      </c>
      <c r="E14" s="26">
        <f t="shared" si="2"/>
        <v>10</v>
      </c>
      <c r="F14" s="26">
        <v>1182.6</v>
      </c>
      <c r="G14" s="26">
        <f t="shared" si="3"/>
        <v>11826</v>
      </c>
      <c r="H14" s="26">
        <v>5000.0</v>
      </c>
      <c r="I14" s="26">
        <f t="shared" si="4"/>
        <v>16826</v>
      </c>
      <c r="J14" s="16">
        <v>45816.0</v>
      </c>
      <c r="K14" s="12"/>
      <c r="L14" s="17" t="s">
        <v>143</v>
      </c>
      <c r="M14" s="26">
        <f t="shared" si="5"/>
        <v>0</v>
      </c>
      <c r="N14" s="12"/>
      <c r="O14" s="29"/>
      <c r="P14" s="15">
        <f t="shared" si="6"/>
        <v>16826</v>
      </c>
      <c r="Q14" s="15"/>
    </row>
    <row r="15" ht="22.5" customHeight="1">
      <c r="A15" s="26">
        <v>14.0</v>
      </c>
      <c r="B15" s="12" t="str">
        <f>Usuarios!B15 &amp; " " &amp; Usuarios!C15 &amp; " " &amp; Usuarios!D15
</f>
        <v>Ramona  Mansilla </v>
      </c>
      <c r="C15" s="26">
        <f t="shared" si="1"/>
        <v>50</v>
      </c>
      <c r="D15" s="27">
        <v>54.0</v>
      </c>
      <c r="E15" s="26">
        <f t="shared" si="2"/>
        <v>4</v>
      </c>
      <c r="F15" s="26">
        <v>1182.6</v>
      </c>
      <c r="G15" s="26">
        <f t="shared" si="3"/>
        <v>4730.4</v>
      </c>
      <c r="H15" s="26">
        <v>5000.0</v>
      </c>
      <c r="I15" s="26">
        <f t="shared" si="4"/>
        <v>9730.4</v>
      </c>
      <c r="J15" s="16">
        <v>45816.0</v>
      </c>
      <c r="K15" s="12"/>
      <c r="L15" s="17" t="s">
        <v>143</v>
      </c>
      <c r="M15" s="26">
        <f t="shared" si="5"/>
        <v>0</v>
      </c>
      <c r="N15" s="12"/>
      <c r="O15" s="29"/>
      <c r="P15" s="15">
        <f t="shared" si="6"/>
        <v>9730.4</v>
      </c>
      <c r="Q15" s="15"/>
    </row>
    <row r="16" ht="22.5" customHeight="1">
      <c r="A16" s="26">
        <v>15.0</v>
      </c>
      <c r="B16" s="12" t="str">
        <f>Usuarios!B16 &amp; " " &amp; Usuarios!C16 &amp; " " &amp; Usuarios!D16
</f>
        <v>Sandra Mancilla  Merino</v>
      </c>
      <c r="C16" s="26">
        <f t="shared" si="1"/>
        <v>144</v>
      </c>
      <c r="D16" s="27">
        <v>155.0</v>
      </c>
      <c r="E16" s="26">
        <f t="shared" si="2"/>
        <v>11</v>
      </c>
      <c r="F16" s="26">
        <v>1182.6</v>
      </c>
      <c r="G16" s="26">
        <f t="shared" si="3"/>
        <v>13008.6</v>
      </c>
      <c r="H16" s="26">
        <v>5000.0</v>
      </c>
      <c r="I16" s="26">
        <f t="shared" si="4"/>
        <v>18008.6</v>
      </c>
      <c r="J16" s="16">
        <v>45816.0</v>
      </c>
      <c r="K16" s="12"/>
      <c r="L16" s="17" t="s">
        <v>143</v>
      </c>
      <c r="M16" s="26">
        <f t="shared" si="5"/>
        <v>0</v>
      </c>
      <c r="N16" s="12"/>
      <c r="O16" s="29"/>
      <c r="P16" s="15">
        <f t="shared" si="6"/>
        <v>18008.6</v>
      </c>
      <c r="Q16" s="15"/>
    </row>
    <row r="17" ht="22.5" customHeight="1">
      <c r="A17" s="26">
        <v>16.0</v>
      </c>
      <c r="B17" s="12" t="str">
        <f>Usuarios!B17 &amp; " " &amp; Usuarios!C17 &amp; " " &amp; Usuarios!D17
</f>
        <v>Carlos  Agüero </v>
      </c>
      <c r="C17" s="26">
        <f t="shared" si="1"/>
        <v>182</v>
      </c>
      <c r="D17" s="27">
        <v>191.0</v>
      </c>
      <c r="E17" s="26">
        <f t="shared" si="2"/>
        <v>9</v>
      </c>
      <c r="F17" s="26">
        <v>1182.6</v>
      </c>
      <c r="G17" s="26">
        <f t="shared" si="3"/>
        <v>10643.4</v>
      </c>
      <c r="H17" s="26">
        <v>5000.0</v>
      </c>
      <c r="I17" s="26">
        <f t="shared" si="4"/>
        <v>15643.4</v>
      </c>
      <c r="J17" s="16">
        <v>45816.0</v>
      </c>
      <c r="K17" s="12"/>
      <c r="L17" s="17" t="s">
        <v>146</v>
      </c>
      <c r="M17" s="26">
        <f t="shared" si="5"/>
        <v>15643.4</v>
      </c>
      <c r="N17" s="12"/>
      <c r="O17" s="29"/>
      <c r="P17" s="15">
        <f t="shared" si="6"/>
        <v>0</v>
      </c>
      <c r="Q17" s="15"/>
    </row>
    <row r="18" ht="22.5" customHeight="1">
      <c r="A18" s="26">
        <v>17.0</v>
      </c>
      <c r="B18" s="12" t="str">
        <f>Usuarios!B18 &amp; " " &amp; Usuarios!C18 &amp; " " &amp; Usuarios!D18
</f>
        <v>Joaquin  Claramunt </v>
      </c>
      <c r="C18" s="26">
        <f t="shared" si="1"/>
        <v>167</v>
      </c>
      <c r="D18" s="27">
        <v>183.0</v>
      </c>
      <c r="E18" s="26">
        <f t="shared" si="2"/>
        <v>16</v>
      </c>
      <c r="F18" s="26">
        <v>1182.6</v>
      </c>
      <c r="G18" s="26">
        <f t="shared" si="3"/>
        <v>18921.6</v>
      </c>
      <c r="H18" s="26">
        <v>5000.0</v>
      </c>
      <c r="I18" s="26">
        <f t="shared" si="4"/>
        <v>23921.6</v>
      </c>
      <c r="J18" s="16">
        <v>45816.0</v>
      </c>
      <c r="K18" s="12"/>
      <c r="L18" s="17" t="s">
        <v>143</v>
      </c>
      <c r="M18" s="26">
        <f t="shared" si="5"/>
        <v>0</v>
      </c>
      <c r="N18" s="12"/>
      <c r="O18" s="29"/>
      <c r="P18" s="15">
        <f t="shared" si="6"/>
        <v>23921.6</v>
      </c>
      <c r="Q18" s="15"/>
    </row>
    <row r="19" ht="22.5" customHeight="1">
      <c r="A19" s="26">
        <v>18.0</v>
      </c>
      <c r="B19" s="12" t="str">
        <f>Usuarios!B19 &amp; " " &amp; Usuarios!C19 &amp; " " &amp; Usuarios!D19
</f>
        <v>Nelson  Mansilla </v>
      </c>
      <c r="C19" s="26">
        <f t="shared" si="1"/>
        <v>133</v>
      </c>
      <c r="D19" s="27">
        <v>140.0</v>
      </c>
      <c r="E19" s="26">
        <f t="shared" si="2"/>
        <v>7</v>
      </c>
      <c r="F19" s="26">
        <v>1182.6</v>
      </c>
      <c r="G19" s="26">
        <f t="shared" si="3"/>
        <v>8278.2</v>
      </c>
      <c r="H19" s="26">
        <v>5000.0</v>
      </c>
      <c r="I19" s="26">
        <f t="shared" si="4"/>
        <v>13278.2</v>
      </c>
      <c r="J19" s="16">
        <v>45816.0</v>
      </c>
      <c r="K19" s="12"/>
      <c r="L19" s="17" t="s">
        <v>143</v>
      </c>
      <c r="M19" s="26">
        <f t="shared" si="5"/>
        <v>0</v>
      </c>
      <c r="N19" s="12"/>
      <c r="O19" s="29"/>
      <c r="P19" s="15">
        <f t="shared" si="6"/>
        <v>13278.2</v>
      </c>
      <c r="Q19" s="15"/>
    </row>
    <row r="20" ht="22.5" customHeight="1">
      <c r="A20" s="26">
        <v>19.0</v>
      </c>
      <c r="B20" s="12" t="str">
        <f>Usuarios!B20 &amp; " " &amp; Usuarios!C20 &amp; " " &amp; Usuarios!D20
</f>
        <v>Eduardo  Chavez </v>
      </c>
      <c r="C20" s="26">
        <f t="shared" si="1"/>
        <v>82</v>
      </c>
      <c r="D20" s="27">
        <v>87.0</v>
      </c>
      <c r="E20" s="26">
        <f t="shared" si="2"/>
        <v>5</v>
      </c>
      <c r="F20" s="26">
        <v>1182.6</v>
      </c>
      <c r="G20" s="26">
        <f t="shared" si="3"/>
        <v>5913</v>
      </c>
      <c r="H20" s="26">
        <v>5000.0</v>
      </c>
      <c r="I20" s="26">
        <f t="shared" si="4"/>
        <v>10913</v>
      </c>
      <c r="J20" s="16">
        <v>45816.0</v>
      </c>
      <c r="K20" s="12"/>
      <c r="L20" s="17" t="s">
        <v>146</v>
      </c>
      <c r="M20" s="26">
        <f t="shared" si="5"/>
        <v>10913</v>
      </c>
      <c r="N20" s="12"/>
      <c r="O20" s="29"/>
      <c r="P20" s="15">
        <f t="shared" si="6"/>
        <v>0</v>
      </c>
      <c r="Q20" s="15"/>
    </row>
    <row r="21" ht="22.5" customHeight="1">
      <c r="A21" s="26">
        <v>20.0</v>
      </c>
      <c r="B21" s="12" t="str">
        <f>Usuarios!B21 &amp; " " &amp; Usuarios!C21 &amp; " " &amp; Usuarios!D21
</f>
        <v>Juan  Chavez </v>
      </c>
      <c r="C21" s="26">
        <f t="shared" si="1"/>
        <v>24</v>
      </c>
      <c r="D21" s="27">
        <v>26.0</v>
      </c>
      <c r="E21" s="26">
        <f t="shared" si="2"/>
        <v>2</v>
      </c>
      <c r="F21" s="26">
        <v>1182.6</v>
      </c>
      <c r="G21" s="26">
        <f t="shared" si="3"/>
        <v>2365.2</v>
      </c>
      <c r="H21" s="26">
        <v>5000.0</v>
      </c>
      <c r="I21" s="26">
        <f t="shared" si="4"/>
        <v>7365.2</v>
      </c>
      <c r="J21" s="16">
        <v>45816.0</v>
      </c>
      <c r="K21" s="12"/>
      <c r="L21" s="17" t="s">
        <v>143</v>
      </c>
      <c r="M21" s="26">
        <f t="shared" si="5"/>
        <v>0</v>
      </c>
      <c r="N21" s="12"/>
      <c r="O21" s="29"/>
      <c r="P21" s="15">
        <f t="shared" si="6"/>
        <v>7365.2</v>
      </c>
      <c r="Q21" s="15"/>
    </row>
    <row r="22" ht="22.5" customHeight="1">
      <c r="A22" s="34"/>
      <c r="B22" s="34"/>
      <c r="C22" s="34"/>
      <c r="D22" s="34"/>
      <c r="E22" s="34"/>
      <c r="F22" s="34"/>
      <c r="G22" s="34"/>
      <c r="H22" s="34"/>
      <c r="I22" s="25"/>
      <c r="J22" s="25"/>
      <c r="K22" s="25"/>
      <c r="L22" s="35"/>
      <c r="M22" s="25"/>
      <c r="N22" s="25"/>
      <c r="O22" s="35"/>
      <c r="P22" s="22"/>
      <c r="Q22" s="22"/>
    </row>
    <row r="23" ht="22.5" customHeight="1">
      <c r="A23" s="26">
        <v>22.0</v>
      </c>
      <c r="B23" s="12" t="str">
        <f>Usuarios!B23 &amp; " " &amp; Usuarios!C23 &amp; " " &amp; Usuarios!D23
</f>
        <v>Yuri  Millaquen </v>
      </c>
      <c r="C23" s="26">
        <f t="shared" ref="C23:C58" si="7">INDEX(INDIRECT("'" &amp; TEXT(EDATE(J23,-2),"mm-yyyy") &amp; "'!D:D"),
   MATCH(A23,INDIRECT("'" &amp; TEXT(EDATE(J23,-2),"mm-yyyy") &amp; "'!A:A"),0))
</f>
        <v>163</v>
      </c>
      <c r="D23" s="27">
        <v>175.0</v>
      </c>
      <c r="E23" s="26">
        <f t="shared" ref="E23:E58" si="8">D23-C23</f>
        <v>12</v>
      </c>
      <c r="F23" s="26">
        <v>1182.6</v>
      </c>
      <c r="G23" s="26">
        <f t="shared" ref="G23:G58" si="9">E23*F23</f>
        <v>14191.2</v>
      </c>
      <c r="H23" s="26">
        <v>5000.0</v>
      </c>
      <c r="I23" s="26">
        <f t="shared" ref="I23:I58" si="10">E23*F23+H23</f>
        <v>19191.2</v>
      </c>
      <c r="J23" s="16">
        <v>45816.0</v>
      </c>
      <c r="K23" s="12"/>
      <c r="L23" s="17" t="s">
        <v>143</v>
      </c>
      <c r="M23" s="26">
        <f t="shared" ref="M23:M58" si="11">IF(L23="Pagado", I23, 0)</f>
        <v>0</v>
      </c>
      <c r="N23" s="12"/>
      <c r="O23" s="29"/>
      <c r="P23" s="15">
        <f t="shared" ref="P23:P58" si="12">IF(L23="NO APLICA",0, (I23-M23))</f>
        <v>19191.2</v>
      </c>
      <c r="Q23" s="15"/>
    </row>
    <row r="24" ht="22.5" customHeight="1">
      <c r="A24" s="26">
        <v>23.0</v>
      </c>
      <c r="B24" s="12" t="str">
        <f>Usuarios!B24 &amp; " " &amp; Usuarios!C24 &amp; " " &amp; Usuarios!D24
</f>
        <v>Carlos  Nahuelpan </v>
      </c>
      <c r="C24" s="26">
        <f t="shared" si="7"/>
        <v>112</v>
      </c>
      <c r="D24" s="27">
        <v>117.0</v>
      </c>
      <c r="E24" s="26">
        <f t="shared" si="8"/>
        <v>5</v>
      </c>
      <c r="F24" s="26">
        <v>1182.6</v>
      </c>
      <c r="G24" s="26">
        <f t="shared" si="9"/>
        <v>5913</v>
      </c>
      <c r="H24" s="26">
        <v>5000.0</v>
      </c>
      <c r="I24" s="26">
        <f t="shared" si="10"/>
        <v>10913</v>
      </c>
      <c r="J24" s="16">
        <v>45816.0</v>
      </c>
      <c r="K24" s="12"/>
      <c r="L24" s="17" t="s">
        <v>143</v>
      </c>
      <c r="M24" s="26">
        <f t="shared" si="11"/>
        <v>0</v>
      </c>
      <c r="N24" s="12"/>
      <c r="O24" s="29"/>
      <c r="P24" s="15">
        <f t="shared" si="12"/>
        <v>10913</v>
      </c>
      <c r="Q24" s="15"/>
    </row>
    <row r="25" ht="22.5" customHeight="1">
      <c r="A25" s="26">
        <v>24.0</v>
      </c>
      <c r="B25" s="12" t="str">
        <f>Usuarios!B25 &amp; " " &amp; Usuarios!C25 &amp; " " &amp; Usuarios!D25
</f>
        <v>Maria Velasquez  Miranda</v>
      </c>
      <c r="C25" s="26">
        <f t="shared" si="7"/>
        <v>263</v>
      </c>
      <c r="D25" s="27">
        <v>285.0</v>
      </c>
      <c r="E25" s="26">
        <f t="shared" si="8"/>
        <v>22</v>
      </c>
      <c r="F25" s="26">
        <v>1182.6</v>
      </c>
      <c r="G25" s="26">
        <f t="shared" si="9"/>
        <v>26017.2</v>
      </c>
      <c r="H25" s="26">
        <v>5000.0</v>
      </c>
      <c r="I25" s="26">
        <f t="shared" si="10"/>
        <v>31017.2</v>
      </c>
      <c r="J25" s="16">
        <v>45816.0</v>
      </c>
      <c r="K25" s="12"/>
      <c r="L25" s="17" t="s">
        <v>143</v>
      </c>
      <c r="M25" s="26">
        <f t="shared" si="11"/>
        <v>0</v>
      </c>
      <c r="N25" s="12"/>
      <c r="O25" s="29"/>
      <c r="P25" s="15">
        <f t="shared" si="12"/>
        <v>31017.2</v>
      </c>
      <c r="Q25" s="15"/>
    </row>
    <row r="26" ht="22.5" customHeight="1">
      <c r="A26" s="26">
        <v>25.0</v>
      </c>
      <c r="B26" s="12" t="str">
        <f>Usuarios!B26 &amp; " " &amp; Usuarios!C26 &amp; " " &amp; Usuarios!D26
</f>
        <v>Inés  Velasquez </v>
      </c>
      <c r="C26" s="26">
        <f t="shared" si="7"/>
        <v>117</v>
      </c>
      <c r="D26" s="27">
        <v>122.0</v>
      </c>
      <c r="E26" s="26">
        <f t="shared" si="8"/>
        <v>5</v>
      </c>
      <c r="F26" s="26">
        <v>1182.6</v>
      </c>
      <c r="G26" s="26">
        <f t="shared" si="9"/>
        <v>5913</v>
      </c>
      <c r="H26" s="26">
        <v>5000.0</v>
      </c>
      <c r="I26" s="26">
        <f t="shared" si="10"/>
        <v>10913</v>
      </c>
      <c r="J26" s="16">
        <v>45816.0</v>
      </c>
      <c r="K26" s="12"/>
      <c r="L26" s="17" t="s">
        <v>143</v>
      </c>
      <c r="M26" s="26">
        <f t="shared" si="11"/>
        <v>0</v>
      </c>
      <c r="N26" s="12"/>
      <c r="O26" s="29"/>
      <c r="P26" s="15">
        <f t="shared" si="12"/>
        <v>10913</v>
      </c>
      <c r="Q26" s="15"/>
    </row>
    <row r="27" ht="22.5" customHeight="1">
      <c r="A27" s="26">
        <v>26.0</v>
      </c>
      <c r="B27" s="12" t="str">
        <f>Usuarios!B27 &amp; " " &amp; Usuarios!C27 &amp; " " &amp; Usuarios!D27
</f>
        <v>Guido  Quintuy </v>
      </c>
      <c r="C27" s="26">
        <f t="shared" si="7"/>
        <v>143</v>
      </c>
      <c r="D27" s="27">
        <v>145.0</v>
      </c>
      <c r="E27" s="26">
        <f t="shared" si="8"/>
        <v>2</v>
      </c>
      <c r="F27" s="26">
        <v>1182.6</v>
      </c>
      <c r="G27" s="26">
        <f t="shared" si="9"/>
        <v>2365.2</v>
      </c>
      <c r="H27" s="26">
        <v>5000.0</v>
      </c>
      <c r="I27" s="26">
        <f t="shared" si="10"/>
        <v>7365.2</v>
      </c>
      <c r="J27" s="16">
        <v>45816.0</v>
      </c>
      <c r="K27" s="12"/>
      <c r="L27" s="17" t="s">
        <v>143</v>
      </c>
      <c r="M27" s="26">
        <f t="shared" si="11"/>
        <v>0</v>
      </c>
      <c r="N27" s="12"/>
      <c r="O27" s="29"/>
      <c r="P27" s="15">
        <f t="shared" si="12"/>
        <v>7365.2</v>
      </c>
      <c r="Q27" s="15"/>
    </row>
    <row r="28" ht="22.5" customHeight="1">
      <c r="A28" s="26">
        <v>27.0</v>
      </c>
      <c r="B28" s="12" t="str">
        <f>Usuarios!B28 &amp; " " &amp; Usuarios!C28 &amp; " " &amp; Usuarios!D28
</f>
        <v>Pedro  Almonacid </v>
      </c>
      <c r="C28" s="26">
        <f t="shared" si="7"/>
        <v>212</v>
      </c>
      <c r="D28" s="27">
        <v>223.0</v>
      </c>
      <c r="E28" s="26">
        <f t="shared" si="8"/>
        <v>11</v>
      </c>
      <c r="F28" s="26">
        <v>1182.6</v>
      </c>
      <c r="G28" s="26">
        <f t="shared" si="9"/>
        <v>13008.6</v>
      </c>
      <c r="H28" s="26">
        <v>5000.0</v>
      </c>
      <c r="I28" s="26">
        <f t="shared" si="10"/>
        <v>18008.6</v>
      </c>
      <c r="J28" s="16">
        <v>45816.0</v>
      </c>
      <c r="K28" s="12"/>
      <c r="L28" s="17" t="s">
        <v>143</v>
      </c>
      <c r="M28" s="26">
        <f t="shared" si="11"/>
        <v>0</v>
      </c>
      <c r="N28" s="12"/>
      <c r="O28" s="29"/>
      <c r="P28" s="15">
        <f t="shared" si="12"/>
        <v>18008.6</v>
      </c>
      <c r="Q28" s="15"/>
    </row>
    <row r="29" ht="22.5" customHeight="1">
      <c r="A29" s="26">
        <v>28.0</v>
      </c>
      <c r="B29" s="12" t="str">
        <f>Usuarios!B29 &amp; " " &amp; Usuarios!C29 &amp; " " &amp; Usuarios!D29
</f>
        <v>Nora  Ñanco </v>
      </c>
      <c r="C29" s="26">
        <f t="shared" si="7"/>
        <v>441</v>
      </c>
      <c r="D29" s="27">
        <v>469.0</v>
      </c>
      <c r="E29" s="26">
        <f t="shared" si="8"/>
        <v>28</v>
      </c>
      <c r="F29" s="26">
        <v>1182.6</v>
      </c>
      <c r="G29" s="26">
        <f t="shared" si="9"/>
        <v>33112.8</v>
      </c>
      <c r="H29" s="26">
        <v>5000.0</v>
      </c>
      <c r="I29" s="26">
        <f t="shared" si="10"/>
        <v>38112.8</v>
      </c>
      <c r="J29" s="16">
        <v>45816.0</v>
      </c>
      <c r="K29" s="12"/>
      <c r="L29" s="17" t="s">
        <v>143</v>
      </c>
      <c r="M29" s="26">
        <f t="shared" si="11"/>
        <v>0</v>
      </c>
      <c r="N29" s="12"/>
      <c r="O29" s="29"/>
      <c r="P29" s="15">
        <f t="shared" si="12"/>
        <v>38112.8</v>
      </c>
      <c r="Q29" s="15"/>
    </row>
    <row r="30" ht="22.5" customHeight="1">
      <c r="A30" s="26">
        <v>29.0</v>
      </c>
      <c r="B30" s="12" t="str">
        <f>Usuarios!B30 &amp; " " &amp; Usuarios!C30 &amp; " " &amp; Usuarios!D30
</f>
        <v>Miriam  Alvarado </v>
      </c>
      <c r="C30" s="26">
        <f t="shared" si="7"/>
        <v>570</v>
      </c>
      <c r="D30" s="27">
        <v>593.0</v>
      </c>
      <c r="E30" s="26">
        <f t="shared" si="8"/>
        <v>23</v>
      </c>
      <c r="F30" s="26">
        <v>1182.6</v>
      </c>
      <c r="G30" s="26">
        <f t="shared" si="9"/>
        <v>27199.8</v>
      </c>
      <c r="H30" s="26">
        <v>5000.0</v>
      </c>
      <c r="I30" s="26">
        <f t="shared" si="10"/>
        <v>32199.8</v>
      </c>
      <c r="J30" s="16">
        <v>45816.0</v>
      </c>
      <c r="K30" s="12"/>
      <c r="L30" s="17" t="s">
        <v>143</v>
      </c>
      <c r="M30" s="26">
        <f t="shared" si="11"/>
        <v>0</v>
      </c>
      <c r="N30" s="12"/>
      <c r="O30" s="29"/>
      <c r="P30" s="15">
        <f t="shared" si="12"/>
        <v>32199.8</v>
      </c>
      <c r="Q30" s="15"/>
    </row>
    <row r="31" ht="22.5" customHeight="1">
      <c r="A31" s="26">
        <v>30.0</v>
      </c>
      <c r="B31" s="12" t="str">
        <f>Usuarios!B31 &amp; " " &amp; Usuarios!C31 &amp; " " &amp; Usuarios!D31
</f>
        <v>Luz  Maldonado </v>
      </c>
      <c r="C31" s="26">
        <f t="shared" si="7"/>
        <v>5</v>
      </c>
      <c r="D31" s="27">
        <v>5.0</v>
      </c>
      <c r="E31" s="26">
        <f t="shared" si="8"/>
        <v>0</v>
      </c>
      <c r="F31" s="26">
        <v>1182.6</v>
      </c>
      <c r="G31" s="26">
        <f t="shared" si="9"/>
        <v>0</v>
      </c>
      <c r="H31" s="26">
        <v>5000.0</v>
      </c>
      <c r="I31" s="26">
        <f t="shared" si="10"/>
        <v>5000</v>
      </c>
      <c r="J31" s="16">
        <v>45816.0</v>
      </c>
      <c r="K31" s="12"/>
      <c r="L31" s="17" t="s">
        <v>143</v>
      </c>
      <c r="M31" s="26">
        <f t="shared" si="11"/>
        <v>0</v>
      </c>
      <c r="N31" s="12"/>
      <c r="O31" s="29"/>
      <c r="P31" s="15">
        <f t="shared" si="12"/>
        <v>5000</v>
      </c>
      <c r="Q31" s="15"/>
    </row>
    <row r="32" ht="22.5" customHeight="1">
      <c r="A32" s="26">
        <v>31.0</v>
      </c>
      <c r="B32" s="12" t="str">
        <f>Usuarios!B32 &amp; " " &amp; Usuarios!C32 &amp; " " &amp; Usuarios!D32
</f>
        <v>Patricia  Carcamo  Gonzales</v>
      </c>
      <c r="C32" s="26">
        <f t="shared" si="7"/>
        <v>164</v>
      </c>
      <c r="D32" s="27">
        <v>182.0</v>
      </c>
      <c r="E32" s="26">
        <f t="shared" si="8"/>
        <v>18</v>
      </c>
      <c r="F32" s="26">
        <v>1182.6</v>
      </c>
      <c r="G32" s="26">
        <f t="shared" si="9"/>
        <v>21286.8</v>
      </c>
      <c r="H32" s="26">
        <v>5000.0</v>
      </c>
      <c r="I32" s="26">
        <f t="shared" si="10"/>
        <v>26286.8</v>
      </c>
      <c r="J32" s="16">
        <v>45816.0</v>
      </c>
      <c r="K32" s="12"/>
      <c r="L32" s="17" t="s">
        <v>143</v>
      </c>
      <c r="M32" s="26">
        <f t="shared" si="11"/>
        <v>0</v>
      </c>
      <c r="N32" s="12"/>
      <c r="O32" s="29"/>
      <c r="P32" s="15">
        <f t="shared" si="12"/>
        <v>26286.8</v>
      </c>
      <c r="Q32" s="15"/>
    </row>
    <row r="33" ht="22.5" customHeight="1">
      <c r="A33" s="26">
        <v>32.0</v>
      </c>
      <c r="B33" s="12" t="str">
        <f>Usuarios!B33 &amp; " " &amp; Usuarios!C33 &amp; " " &amp; Usuarios!D33
</f>
        <v>Natividad  Soto </v>
      </c>
      <c r="C33" s="26">
        <f t="shared" si="7"/>
        <v>97</v>
      </c>
      <c r="D33" s="27">
        <v>113.0</v>
      </c>
      <c r="E33" s="26">
        <f t="shared" si="8"/>
        <v>16</v>
      </c>
      <c r="F33" s="26">
        <v>1182.6</v>
      </c>
      <c r="G33" s="26">
        <f t="shared" si="9"/>
        <v>18921.6</v>
      </c>
      <c r="H33" s="26">
        <v>5000.0</v>
      </c>
      <c r="I33" s="26">
        <f t="shared" si="10"/>
        <v>23921.6</v>
      </c>
      <c r="J33" s="16">
        <v>45816.0</v>
      </c>
      <c r="K33" s="12"/>
      <c r="L33" s="17" t="s">
        <v>143</v>
      </c>
      <c r="M33" s="26">
        <f t="shared" si="11"/>
        <v>0</v>
      </c>
      <c r="N33" s="12"/>
      <c r="O33" s="29"/>
      <c r="P33" s="15">
        <f t="shared" si="12"/>
        <v>23921.6</v>
      </c>
      <c r="Q33" s="15"/>
    </row>
    <row r="34" ht="22.5" customHeight="1">
      <c r="A34" s="26">
        <v>33.0</v>
      </c>
      <c r="B34" s="12" t="str">
        <f>Usuarios!B34 &amp; " " &amp; Usuarios!C34 &amp; " " &amp; Usuarios!D34
</f>
        <v>Maria Oliva  Soto  Almonacid</v>
      </c>
      <c r="C34" s="26">
        <f t="shared" si="7"/>
        <v>49</v>
      </c>
      <c r="D34" s="27">
        <v>52.0</v>
      </c>
      <c r="E34" s="26">
        <f t="shared" si="8"/>
        <v>3</v>
      </c>
      <c r="F34" s="26">
        <v>1182.6</v>
      </c>
      <c r="G34" s="26">
        <f t="shared" si="9"/>
        <v>3547.8</v>
      </c>
      <c r="H34" s="26">
        <v>5000.0</v>
      </c>
      <c r="I34" s="26">
        <f t="shared" si="10"/>
        <v>8547.8</v>
      </c>
      <c r="J34" s="16">
        <v>45816.0</v>
      </c>
      <c r="K34" s="12"/>
      <c r="L34" s="17" t="s">
        <v>143</v>
      </c>
      <c r="M34" s="26">
        <f t="shared" si="11"/>
        <v>0</v>
      </c>
      <c r="N34" s="12"/>
      <c r="O34" s="29"/>
      <c r="P34" s="15">
        <f t="shared" si="12"/>
        <v>8547.8</v>
      </c>
      <c r="Q34" s="15"/>
    </row>
    <row r="35" ht="22.5" customHeight="1">
      <c r="A35" s="26">
        <v>34.0</v>
      </c>
      <c r="B35" s="12" t="str">
        <f>Usuarios!B35 &amp; " " &amp; Usuarios!C35 &amp; " " &amp; Usuarios!D35
</f>
        <v>Vanesa  Aguilar </v>
      </c>
      <c r="C35" s="26">
        <f t="shared" si="7"/>
        <v>541</v>
      </c>
      <c r="D35" s="27">
        <v>557.0</v>
      </c>
      <c r="E35" s="26">
        <f t="shared" si="8"/>
        <v>16</v>
      </c>
      <c r="F35" s="26">
        <v>1182.6</v>
      </c>
      <c r="G35" s="26">
        <f t="shared" si="9"/>
        <v>18921.6</v>
      </c>
      <c r="H35" s="26">
        <v>5000.0</v>
      </c>
      <c r="I35" s="26">
        <f t="shared" si="10"/>
        <v>23921.6</v>
      </c>
      <c r="J35" s="16">
        <v>45816.0</v>
      </c>
      <c r="K35" s="12"/>
      <c r="L35" s="17" t="s">
        <v>143</v>
      </c>
      <c r="M35" s="26">
        <f t="shared" si="11"/>
        <v>0</v>
      </c>
      <c r="N35" s="12"/>
      <c r="O35" s="29"/>
      <c r="P35" s="15">
        <f t="shared" si="12"/>
        <v>23921.6</v>
      </c>
      <c r="Q35" s="15"/>
    </row>
    <row r="36" ht="22.5" customHeight="1">
      <c r="A36" s="26">
        <v>35.0</v>
      </c>
      <c r="B36" s="12" t="str">
        <f>Usuarios!B36 &amp; " " &amp; Usuarios!C36 &amp; " " &amp; Usuarios!D36
</f>
        <v>José  Paredes </v>
      </c>
      <c r="C36" s="26">
        <f t="shared" si="7"/>
        <v>0</v>
      </c>
      <c r="D36" s="27">
        <v>0.0</v>
      </c>
      <c r="E36" s="26">
        <f t="shared" si="8"/>
        <v>0</v>
      </c>
      <c r="F36" s="26">
        <v>1182.6</v>
      </c>
      <c r="G36" s="26">
        <f t="shared" si="9"/>
        <v>0</v>
      </c>
      <c r="H36" s="26">
        <v>5000.0</v>
      </c>
      <c r="I36" s="26">
        <f t="shared" si="10"/>
        <v>5000</v>
      </c>
      <c r="J36" s="16">
        <v>45816.0</v>
      </c>
      <c r="K36" s="12"/>
      <c r="L36" s="17" t="s">
        <v>143</v>
      </c>
      <c r="M36" s="26">
        <f t="shared" si="11"/>
        <v>0</v>
      </c>
      <c r="N36" s="12"/>
      <c r="O36" s="29"/>
      <c r="P36" s="15">
        <f t="shared" si="12"/>
        <v>5000</v>
      </c>
      <c r="Q36" s="15"/>
    </row>
    <row r="37" ht="22.5" customHeight="1">
      <c r="A37" s="26">
        <v>36.0</v>
      </c>
      <c r="B37" s="12" t="str">
        <f>Usuarios!B37 &amp; " " &amp; Usuarios!C37 &amp; " " &amp; Usuarios!D37
</f>
        <v>Danilo  Soto  Soto</v>
      </c>
      <c r="C37" s="26">
        <f t="shared" si="7"/>
        <v>2</v>
      </c>
      <c r="D37" s="27">
        <v>0.0</v>
      </c>
      <c r="E37" s="26">
        <f t="shared" si="8"/>
        <v>-2</v>
      </c>
      <c r="F37" s="26">
        <v>1182.6</v>
      </c>
      <c r="G37" s="26">
        <f t="shared" si="9"/>
        <v>-2365.2</v>
      </c>
      <c r="H37" s="26">
        <v>5000.0</v>
      </c>
      <c r="I37" s="26">
        <f t="shared" si="10"/>
        <v>2634.8</v>
      </c>
      <c r="J37" s="16">
        <v>45816.0</v>
      </c>
      <c r="K37" s="12"/>
      <c r="L37" s="17" t="s">
        <v>143</v>
      </c>
      <c r="M37" s="26">
        <f t="shared" si="11"/>
        <v>0</v>
      </c>
      <c r="N37" s="12"/>
      <c r="O37" s="29"/>
      <c r="P37" s="15">
        <f t="shared" si="12"/>
        <v>2634.8</v>
      </c>
      <c r="Q37" s="15"/>
    </row>
    <row r="38" ht="22.5" customHeight="1">
      <c r="A38" s="26">
        <v>37.0</v>
      </c>
      <c r="B38" s="12" t="str">
        <f>Usuarios!B38 &amp; " " &amp; Usuarios!C38 &amp; " " &amp; Usuarios!D38
</f>
        <v>Patricio Alvarez Mancilla</v>
      </c>
      <c r="C38" s="26">
        <f t="shared" si="7"/>
        <v>0</v>
      </c>
      <c r="D38" s="27">
        <v>0.0</v>
      </c>
      <c r="E38" s="26">
        <f t="shared" si="8"/>
        <v>0</v>
      </c>
      <c r="F38" s="26">
        <v>1182.6</v>
      </c>
      <c r="G38" s="26">
        <f t="shared" si="9"/>
        <v>0</v>
      </c>
      <c r="H38" s="26">
        <v>5000.0</v>
      </c>
      <c r="I38" s="26">
        <f t="shared" si="10"/>
        <v>5000</v>
      </c>
      <c r="J38" s="16">
        <v>45816.0</v>
      </c>
      <c r="K38" s="12"/>
      <c r="L38" s="17" t="s">
        <v>143</v>
      </c>
      <c r="M38" s="26">
        <f t="shared" si="11"/>
        <v>0</v>
      </c>
      <c r="N38" s="12"/>
      <c r="O38" s="29"/>
      <c r="P38" s="15">
        <f t="shared" si="12"/>
        <v>5000</v>
      </c>
      <c r="Q38" s="15"/>
    </row>
    <row r="39" ht="22.5" customHeight="1">
      <c r="A39" s="26">
        <v>38.0</v>
      </c>
      <c r="B39" s="12" t="str">
        <f>Usuarios!B39 &amp; " " &amp; Usuarios!C39 &amp; " " &amp; Usuarios!D39
</f>
        <v>Norma  Sanchez </v>
      </c>
      <c r="C39" s="26">
        <f t="shared" si="7"/>
        <v>6</v>
      </c>
      <c r="D39" s="27">
        <v>7.0</v>
      </c>
      <c r="E39" s="26">
        <f t="shared" si="8"/>
        <v>1</v>
      </c>
      <c r="F39" s="26">
        <v>1182.6</v>
      </c>
      <c r="G39" s="26">
        <f t="shared" si="9"/>
        <v>1182.6</v>
      </c>
      <c r="H39" s="26">
        <v>5000.0</v>
      </c>
      <c r="I39" s="26">
        <f t="shared" si="10"/>
        <v>6182.6</v>
      </c>
      <c r="J39" s="16">
        <v>45816.0</v>
      </c>
      <c r="K39" s="12"/>
      <c r="L39" s="17" t="s">
        <v>143</v>
      </c>
      <c r="M39" s="26">
        <f t="shared" si="11"/>
        <v>0</v>
      </c>
      <c r="N39" s="12"/>
      <c r="O39" s="29"/>
      <c r="P39" s="15">
        <f t="shared" si="12"/>
        <v>6182.6</v>
      </c>
      <c r="Q39" s="15"/>
    </row>
    <row r="40" ht="22.5" customHeight="1">
      <c r="A40" s="26">
        <v>39.0</v>
      </c>
      <c r="B40" s="12" t="str">
        <f>Usuarios!B40 &amp; " " &amp; Usuarios!C40 &amp; " " &amp; Usuarios!D40
</f>
        <v>Gloria  Alvarez </v>
      </c>
      <c r="C40" s="26">
        <f t="shared" si="7"/>
        <v>5</v>
      </c>
      <c r="D40" s="27">
        <v>10.0</v>
      </c>
      <c r="E40" s="26">
        <f t="shared" si="8"/>
        <v>5</v>
      </c>
      <c r="F40" s="26">
        <v>1182.6</v>
      </c>
      <c r="G40" s="26">
        <f t="shared" si="9"/>
        <v>5913</v>
      </c>
      <c r="H40" s="26">
        <v>5000.0</v>
      </c>
      <c r="I40" s="26">
        <f t="shared" si="10"/>
        <v>10913</v>
      </c>
      <c r="J40" s="16">
        <v>45816.0</v>
      </c>
      <c r="K40" s="12"/>
      <c r="L40" s="17" t="s">
        <v>143</v>
      </c>
      <c r="M40" s="26">
        <f t="shared" si="11"/>
        <v>0</v>
      </c>
      <c r="N40" s="12"/>
      <c r="O40" s="29"/>
      <c r="P40" s="15">
        <f t="shared" si="12"/>
        <v>10913</v>
      </c>
      <c r="Q40" s="15"/>
    </row>
    <row r="41" ht="22.5" customHeight="1">
      <c r="A41" s="26">
        <v>40.0</v>
      </c>
      <c r="B41" s="12" t="str">
        <f>Usuarios!B41 &amp; " " &amp; Usuarios!C41 &amp; " " &amp; Usuarios!D41
</f>
        <v>Gloria  Levil </v>
      </c>
      <c r="C41" s="26">
        <f t="shared" si="7"/>
        <v>99</v>
      </c>
      <c r="D41" s="27">
        <v>99.0</v>
      </c>
      <c r="E41" s="26">
        <f t="shared" si="8"/>
        <v>0</v>
      </c>
      <c r="F41" s="26">
        <v>1182.6</v>
      </c>
      <c r="G41" s="26">
        <f t="shared" si="9"/>
        <v>0</v>
      </c>
      <c r="H41" s="26">
        <v>5000.0</v>
      </c>
      <c r="I41" s="26">
        <f t="shared" si="10"/>
        <v>5000</v>
      </c>
      <c r="J41" s="16">
        <v>45816.0</v>
      </c>
      <c r="K41" s="12"/>
      <c r="L41" s="17" t="s">
        <v>143</v>
      </c>
      <c r="M41" s="26">
        <f t="shared" si="11"/>
        <v>0</v>
      </c>
      <c r="N41" s="12"/>
      <c r="O41" s="29"/>
      <c r="P41" s="15">
        <f t="shared" si="12"/>
        <v>5000</v>
      </c>
      <c r="Q41" s="15"/>
    </row>
    <row r="42" ht="22.5" customHeight="1">
      <c r="A42" s="26">
        <v>41.0</v>
      </c>
      <c r="B42" s="12" t="str">
        <f>Usuarios!B42 &amp; " " &amp; Usuarios!C42 &amp; " " &amp; Usuarios!D42
</f>
        <v>Astrid  Gomez </v>
      </c>
      <c r="C42" s="26">
        <f t="shared" si="7"/>
        <v>100</v>
      </c>
      <c r="D42" s="27">
        <v>106.0</v>
      </c>
      <c r="E42" s="26">
        <f t="shared" si="8"/>
        <v>6</v>
      </c>
      <c r="F42" s="26">
        <v>1182.6</v>
      </c>
      <c r="G42" s="26">
        <f t="shared" si="9"/>
        <v>7095.6</v>
      </c>
      <c r="H42" s="26">
        <v>5000.0</v>
      </c>
      <c r="I42" s="26">
        <f t="shared" si="10"/>
        <v>12095.6</v>
      </c>
      <c r="J42" s="16">
        <v>45816.0</v>
      </c>
      <c r="K42" s="12"/>
      <c r="L42" s="17" t="s">
        <v>143</v>
      </c>
      <c r="M42" s="26">
        <f t="shared" si="11"/>
        <v>0</v>
      </c>
      <c r="N42" s="12"/>
      <c r="O42" s="29"/>
      <c r="P42" s="15">
        <f t="shared" si="12"/>
        <v>12095.6</v>
      </c>
      <c r="Q42" s="15"/>
    </row>
    <row r="43" ht="22.5" customHeight="1">
      <c r="A43" s="26">
        <v>42.0</v>
      </c>
      <c r="B43" s="12" t="str">
        <f>Usuarios!B43 &amp; " " &amp; Usuarios!C43 &amp; " " &amp; Usuarios!D43
</f>
        <v>Leo  Soto </v>
      </c>
      <c r="C43" s="26">
        <f t="shared" si="7"/>
        <v>10</v>
      </c>
      <c r="D43" s="27">
        <v>10.0</v>
      </c>
      <c r="E43" s="26">
        <f t="shared" si="8"/>
        <v>0</v>
      </c>
      <c r="F43" s="26">
        <v>1182.6</v>
      </c>
      <c r="G43" s="26">
        <f t="shared" si="9"/>
        <v>0</v>
      </c>
      <c r="H43" s="26">
        <v>5000.0</v>
      </c>
      <c r="I43" s="26">
        <f t="shared" si="10"/>
        <v>5000</v>
      </c>
      <c r="J43" s="16">
        <v>45816.0</v>
      </c>
      <c r="K43" s="12"/>
      <c r="L43" s="17" t="s">
        <v>143</v>
      </c>
      <c r="M43" s="26">
        <f t="shared" si="11"/>
        <v>0</v>
      </c>
      <c r="N43" s="12"/>
      <c r="O43" s="29"/>
      <c r="P43" s="15">
        <f t="shared" si="12"/>
        <v>5000</v>
      </c>
      <c r="Q43" s="15"/>
    </row>
    <row r="44" ht="22.5" customHeight="1">
      <c r="A44" s="26">
        <v>43.0</v>
      </c>
      <c r="B44" s="12" t="str">
        <f>Usuarios!B44 &amp; " " &amp; Usuarios!C44 &amp; " " &amp; Usuarios!D44
</f>
        <v>Ramon  Maldonado </v>
      </c>
      <c r="C44" s="26">
        <f t="shared" si="7"/>
        <v>0</v>
      </c>
      <c r="D44" s="27">
        <v>0.0</v>
      </c>
      <c r="E44" s="26">
        <f t="shared" si="8"/>
        <v>0</v>
      </c>
      <c r="F44" s="26">
        <v>1182.6</v>
      </c>
      <c r="G44" s="26">
        <f t="shared" si="9"/>
        <v>0</v>
      </c>
      <c r="H44" s="26">
        <v>5000.0</v>
      </c>
      <c r="I44" s="26">
        <f t="shared" si="10"/>
        <v>5000</v>
      </c>
      <c r="J44" s="16">
        <v>45816.0</v>
      </c>
      <c r="K44" s="12"/>
      <c r="L44" s="17" t="s">
        <v>146</v>
      </c>
      <c r="M44" s="26">
        <f t="shared" si="11"/>
        <v>5000</v>
      </c>
      <c r="N44" s="12"/>
      <c r="O44" s="29" t="s">
        <v>147</v>
      </c>
      <c r="P44" s="15">
        <f t="shared" si="12"/>
        <v>0</v>
      </c>
      <c r="Q44" s="15"/>
    </row>
    <row r="45" ht="22.5" customHeight="1">
      <c r="A45" s="26">
        <v>44.0</v>
      </c>
      <c r="B45" s="12" t="str">
        <f>Usuarios!B45 &amp; " " &amp; Usuarios!C45 &amp; " " &amp; Usuarios!D45
</f>
        <v>María Sonia  Quintui </v>
      </c>
      <c r="C45" s="26">
        <f t="shared" si="7"/>
        <v>8</v>
      </c>
      <c r="D45" s="27">
        <v>11.0</v>
      </c>
      <c r="E45" s="26">
        <f t="shared" si="8"/>
        <v>3</v>
      </c>
      <c r="F45" s="26">
        <v>1182.6</v>
      </c>
      <c r="G45" s="26">
        <f t="shared" si="9"/>
        <v>3547.8</v>
      </c>
      <c r="H45" s="26">
        <v>5000.0</v>
      </c>
      <c r="I45" s="26">
        <f t="shared" si="10"/>
        <v>8547.8</v>
      </c>
      <c r="J45" s="16">
        <v>45816.0</v>
      </c>
      <c r="K45" s="12"/>
      <c r="L45" s="17" t="s">
        <v>143</v>
      </c>
      <c r="M45" s="26">
        <f t="shared" si="11"/>
        <v>0</v>
      </c>
      <c r="N45" s="12"/>
      <c r="O45" s="29"/>
      <c r="P45" s="15">
        <f t="shared" si="12"/>
        <v>8547.8</v>
      </c>
      <c r="Q45" s="15"/>
    </row>
    <row r="46" ht="22.5" customHeight="1">
      <c r="A46" s="26">
        <v>45.0</v>
      </c>
      <c r="B46" s="12" t="str">
        <f>Usuarios!B46 &amp; " " &amp; Usuarios!C46 &amp; " " &amp; Usuarios!D46
</f>
        <v>Monica  Cuello </v>
      </c>
      <c r="C46" s="26">
        <f t="shared" si="7"/>
        <v>0</v>
      </c>
      <c r="D46" s="27">
        <v>0.0</v>
      </c>
      <c r="E46" s="26">
        <f t="shared" si="8"/>
        <v>0</v>
      </c>
      <c r="F46" s="26">
        <v>1182.6</v>
      </c>
      <c r="G46" s="26">
        <f t="shared" si="9"/>
        <v>0</v>
      </c>
      <c r="H46" s="26">
        <v>5000.0</v>
      </c>
      <c r="I46" s="26">
        <f t="shared" si="10"/>
        <v>5000</v>
      </c>
      <c r="J46" s="16">
        <v>45816.0</v>
      </c>
      <c r="K46" s="12"/>
      <c r="L46" s="17" t="s">
        <v>143</v>
      </c>
      <c r="M46" s="26">
        <f t="shared" si="11"/>
        <v>0</v>
      </c>
      <c r="N46" s="12"/>
      <c r="O46" s="29"/>
      <c r="P46" s="15">
        <f t="shared" si="12"/>
        <v>5000</v>
      </c>
      <c r="Q46" s="15"/>
    </row>
    <row r="47" ht="22.5" customHeight="1">
      <c r="A47" s="26">
        <v>46.0</v>
      </c>
      <c r="B47" s="12" t="str">
        <f>Usuarios!B47 &amp; " " &amp; Usuarios!C47 &amp; " " &amp; Usuarios!D47
</f>
        <v>Mauricio  Muñoz taller </v>
      </c>
      <c r="C47" s="26">
        <f t="shared" si="7"/>
        <v>0</v>
      </c>
      <c r="D47" s="27">
        <v>0.0</v>
      </c>
      <c r="E47" s="26">
        <f t="shared" si="8"/>
        <v>0</v>
      </c>
      <c r="F47" s="26">
        <v>1182.6</v>
      </c>
      <c r="G47" s="26">
        <f t="shared" si="9"/>
        <v>0</v>
      </c>
      <c r="H47" s="26">
        <v>5000.0</v>
      </c>
      <c r="I47" s="26">
        <f t="shared" si="10"/>
        <v>5000</v>
      </c>
      <c r="J47" s="16">
        <v>45816.0</v>
      </c>
      <c r="K47" s="12"/>
      <c r="L47" s="17" t="s">
        <v>143</v>
      </c>
      <c r="M47" s="26">
        <f t="shared" si="11"/>
        <v>0</v>
      </c>
      <c r="N47" s="12"/>
      <c r="O47" s="29"/>
      <c r="P47" s="15">
        <f t="shared" si="12"/>
        <v>5000</v>
      </c>
      <c r="Q47" s="15"/>
    </row>
    <row r="48" ht="22.5" customHeight="1">
      <c r="A48" s="26">
        <v>47.0</v>
      </c>
      <c r="B48" s="12" t="str">
        <f>Usuarios!B48 &amp; " " &amp; Usuarios!C48 &amp; " " &amp; Usuarios!D48
</f>
        <v>Pablo  Contreras </v>
      </c>
      <c r="C48" s="26">
        <f t="shared" si="7"/>
        <v>0</v>
      </c>
      <c r="D48" s="27">
        <v>0.0</v>
      </c>
      <c r="E48" s="26">
        <f t="shared" si="8"/>
        <v>0</v>
      </c>
      <c r="F48" s="26">
        <v>1182.6</v>
      </c>
      <c r="G48" s="26">
        <f t="shared" si="9"/>
        <v>0</v>
      </c>
      <c r="H48" s="26">
        <v>5000.0</v>
      </c>
      <c r="I48" s="26">
        <f t="shared" si="10"/>
        <v>5000</v>
      </c>
      <c r="J48" s="16">
        <v>45816.0</v>
      </c>
      <c r="K48" s="12"/>
      <c r="L48" s="17" t="s">
        <v>143</v>
      </c>
      <c r="M48" s="26">
        <f t="shared" si="11"/>
        <v>0</v>
      </c>
      <c r="N48" s="12"/>
      <c r="O48" s="29"/>
      <c r="P48" s="15">
        <f t="shared" si="12"/>
        <v>5000</v>
      </c>
      <c r="Q48" s="15"/>
    </row>
    <row r="49" ht="22.5" customHeight="1">
      <c r="A49" s="26">
        <v>48.0</v>
      </c>
      <c r="B49" s="12" t="str">
        <f>Usuarios!B49 &amp; " " &amp; Usuarios!C49 &amp; " " &amp; Usuarios!D49
</f>
        <v>Luis Vicente   Mondaca  Muñoz</v>
      </c>
      <c r="C49" s="26">
        <f t="shared" si="7"/>
        <v>294</v>
      </c>
      <c r="D49" s="27">
        <v>319.0</v>
      </c>
      <c r="E49" s="26">
        <f t="shared" si="8"/>
        <v>25</v>
      </c>
      <c r="F49" s="26">
        <v>1182.6</v>
      </c>
      <c r="G49" s="26">
        <f t="shared" si="9"/>
        <v>29565</v>
      </c>
      <c r="H49" s="26">
        <v>5000.0</v>
      </c>
      <c r="I49" s="26">
        <f t="shared" si="10"/>
        <v>34565</v>
      </c>
      <c r="J49" s="16">
        <v>45816.0</v>
      </c>
      <c r="K49" s="12"/>
      <c r="L49" s="17" t="s">
        <v>146</v>
      </c>
      <c r="M49" s="26">
        <f t="shared" si="11"/>
        <v>34565</v>
      </c>
      <c r="N49" s="16">
        <v>45939.0</v>
      </c>
      <c r="O49" s="17" t="s">
        <v>148</v>
      </c>
      <c r="P49" s="15">
        <f t="shared" si="12"/>
        <v>0</v>
      </c>
      <c r="Q49" s="15"/>
    </row>
    <row r="50" ht="22.5" customHeight="1">
      <c r="A50" s="26">
        <v>49.0</v>
      </c>
      <c r="B50" s="12" t="str">
        <f>Usuarios!B50 &amp; " " &amp; Usuarios!C50 &amp; " " &amp; Usuarios!D50
</f>
        <v>Rosa  Nuñez </v>
      </c>
      <c r="C50" s="26">
        <f t="shared" si="7"/>
        <v>82</v>
      </c>
      <c r="D50" s="27">
        <v>86.0</v>
      </c>
      <c r="E50" s="26">
        <f t="shared" si="8"/>
        <v>4</v>
      </c>
      <c r="F50" s="26">
        <v>1182.6</v>
      </c>
      <c r="G50" s="26">
        <f t="shared" si="9"/>
        <v>4730.4</v>
      </c>
      <c r="H50" s="26">
        <v>5000.0</v>
      </c>
      <c r="I50" s="26">
        <f t="shared" si="10"/>
        <v>9730.4</v>
      </c>
      <c r="J50" s="16">
        <v>45816.0</v>
      </c>
      <c r="K50" s="12"/>
      <c r="L50" s="17" t="s">
        <v>143</v>
      </c>
      <c r="M50" s="26">
        <f t="shared" si="11"/>
        <v>0</v>
      </c>
      <c r="N50" s="12"/>
      <c r="O50" s="29"/>
      <c r="P50" s="15">
        <f t="shared" si="12"/>
        <v>9730.4</v>
      </c>
      <c r="Q50" s="15"/>
    </row>
    <row r="51" ht="22.5" customHeight="1">
      <c r="A51" s="26">
        <v>50.0</v>
      </c>
      <c r="B51" s="12" t="str">
        <f>Usuarios!B51 &amp; " " &amp; Usuarios!C51 &amp; " " &amp; Usuarios!D51
</f>
        <v>Gloria Isamar  Velasquez  Almonacid</v>
      </c>
      <c r="C51" s="26">
        <f t="shared" si="7"/>
        <v>42</v>
      </c>
      <c r="D51" s="27">
        <v>50.0</v>
      </c>
      <c r="E51" s="26">
        <f t="shared" si="8"/>
        <v>8</v>
      </c>
      <c r="F51" s="26">
        <v>1182.6</v>
      </c>
      <c r="G51" s="26">
        <f t="shared" si="9"/>
        <v>9460.8</v>
      </c>
      <c r="H51" s="26">
        <v>5000.0</v>
      </c>
      <c r="I51" s="26">
        <f t="shared" si="10"/>
        <v>14460.8</v>
      </c>
      <c r="J51" s="16">
        <v>45816.0</v>
      </c>
      <c r="K51" s="12"/>
      <c r="L51" s="17" t="s">
        <v>143</v>
      </c>
      <c r="M51" s="26">
        <f t="shared" si="11"/>
        <v>0</v>
      </c>
      <c r="N51" s="12"/>
      <c r="O51" s="29"/>
      <c r="P51" s="15">
        <f t="shared" si="12"/>
        <v>14460.8</v>
      </c>
      <c r="Q51" s="15"/>
    </row>
    <row r="52" ht="22.5" customHeight="1">
      <c r="A52" s="26">
        <v>51.0</v>
      </c>
      <c r="B52" s="12" t="str">
        <f>Usuarios!B52 &amp; " " &amp; Usuarios!C52 &amp; " " &amp; Usuarios!D52
</f>
        <v>Maria  Manquian </v>
      </c>
      <c r="C52" s="26">
        <f t="shared" si="7"/>
        <v>0</v>
      </c>
      <c r="D52" s="27">
        <v>0.0</v>
      </c>
      <c r="E52" s="26">
        <f t="shared" si="8"/>
        <v>0</v>
      </c>
      <c r="F52" s="26">
        <v>1182.6</v>
      </c>
      <c r="G52" s="26">
        <f t="shared" si="9"/>
        <v>0</v>
      </c>
      <c r="H52" s="26">
        <v>5000.0</v>
      </c>
      <c r="I52" s="26">
        <f t="shared" si="10"/>
        <v>5000</v>
      </c>
      <c r="J52" s="16">
        <v>45816.0</v>
      </c>
      <c r="K52" s="12"/>
      <c r="L52" s="17" t="s">
        <v>146</v>
      </c>
      <c r="M52" s="26">
        <f t="shared" si="11"/>
        <v>5000</v>
      </c>
      <c r="N52" s="12"/>
      <c r="O52" s="29" t="s">
        <v>147</v>
      </c>
      <c r="P52" s="15">
        <f t="shared" si="12"/>
        <v>0</v>
      </c>
      <c r="Q52" s="15"/>
    </row>
    <row r="53" ht="22.5" customHeight="1">
      <c r="A53" s="26">
        <v>52.0</v>
      </c>
      <c r="B53" s="12" t="str">
        <f>Usuarios!B53 &amp; " " &amp; Usuarios!C53 &amp; " " &amp; Usuarios!D53
</f>
        <v>Esteban  Oyarzo  Levil</v>
      </c>
      <c r="C53" s="26">
        <f t="shared" si="7"/>
        <v>0</v>
      </c>
      <c r="D53" s="27">
        <v>0.0</v>
      </c>
      <c r="E53" s="26">
        <f t="shared" si="8"/>
        <v>0</v>
      </c>
      <c r="F53" s="26">
        <v>1182.6</v>
      </c>
      <c r="G53" s="26">
        <f t="shared" si="9"/>
        <v>0</v>
      </c>
      <c r="H53" s="26">
        <v>5000.0</v>
      </c>
      <c r="I53" s="26">
        <f t="shared" si="10"/>
        <v>5000</v>
      </c>
      <c r="J53" s="16">
        <v>45816.0</v>
      </c>
      <c r="K53" s="12"/>
      <c r="L53" s="17" t="s">
        <v>143</v>
      </c>
      <c r="M53" s="26">
        <f t="shared" si="11"/>
        <v>0</v>
      </c>
      <c r="N53" s="12"/>
      <c r="O53" s="29"/>
      <c r="P53" s="15">
        <f t="shared" si="12"/>
        <v>5000</v>
      </c>
      <c r="Q53" s="15"/>
    </row>
    <row r="54" ht="22.5" customHeight="1">
      <c r="A54" s="26">
        <v>53.0</v>
      </c>
      <c r="B54" s="12" t="str">
        <f>Usuarios!B54 &amp; " " &amp; Usuarios!C54 &amp; " " &amp; Usuarios!D54
</f>
        <v>Nicolas Andres  Cardenas Bustamante</v>
      </c>
      <c r="C54" s="26">
        <f t="shared" si="7"/>
        <v>0</v>
      </c>
      <c r="D54" s="27">
        <v>0.0</v>
      </c>
      <c r="E54" s="26">
        <f t="shared" si="8"/>
        <v>0</v>
      </c>
      <c r="F54" s="26">
        <v>1182.6</v>
      </c>
      <c r="G54" s="26">
        <f t="shared" si="9"/>
        <v>0</v>
      </c>
      <c r="H54" s="26">
        <v>5000.0</v>
      </c>
      <c r="I54" s="26">
        <f t="shared" si="10"/>
        <v>5000</v>
      </c>
      <c r="J54" s="16">
        <v>45816.0</v>
      </c>
      <c r="K54" s="12"/>
      <c r="L54" s="17" t="s">
        <v>146</v>
      </c>
      <c r="M54" s="26">
        <f t="shared" si="11"/>
        <v>5000</v>
      </c>
      <c r="N54" s="12"/>
      <c r="O54" s="29"/>
      <c r="P54" s="15">
        <f t="shared" si="12"/>
        <v>0</v>
      </c>
      <c r="Q54" s="15"/>
    </row>
    <row r="55" ht="22.5" customHeight="1">
      <c r="A55" s="26">
        <v>54.0</v>
      </c>
      <c r="B55" s="12" t="str">
        <f>Usuarios!B55 &amp; " " &amp; Usuarios!C55 &amp; " " &amp; Usuarios!D55
</f>
        <v>Rosa  Mancilla </v>
      </c>
      <c r="C55" s="26">
        <f t="shared" si="7"/>
        <v>106</v>
      </c>
      <c r="D55" s="27">
        <v>106.0</v>
      </c>
      <c r="E55" s="26">
        <f t="shared" si="8"/>
        <v>0</v>
      </c>
      <c r="F55" s="26">
        <v>1182.6</v>
      </c>
      <c r="G55" s="26">
        <f t="shared" si="9"/>
        <v>0</v>
      </c>
      <c r="H55" s="26">
        <v>5000.0</v>
      </c>
      <c r="I55" s="26">
        <f t="shared" si="10"/>
        <v>5000</v>
      </c>
      <c r="J55" s="16">
        <v>45816.0</v>
      </c>
      <c r="K55" s="12"/>
      <c r="L55" s="17" t="s">
        <v>143</v>
      </c>
      <c r="M55" s="26">
        <f t="shared" si="11"/>
        <v>0</v>
      </c>
      <c r="N55" s="12"/>
      <c r="O55" s="29"/>
      <c r="P55" s="15">
        <f t="shared" si="12"/>
        <v>5000</v>
      </c>
      <c r="Q55" s="15"/>
    </row>
    <row r="56" ht="22.5" customHeight="1">
      <c r="A56" s="26">
        <v>55.0</v>
      </c>
      <c r="B56" s="12" t="str">
        <f>Usuarios!B56 &amp; " " &amp; Usuarios!C56 &amp; " " &amp; Usuarios!D56
</f>
        <v>Guido  Quintuy - Sitio vacío </v>
      </c>
      <c r="C56" s="26">
        <f t="shared" si="7"/>
        <v>0</v>
      </c>
      <c r="D56" s="27">
        <v>0.0</v>
      </c>
      <c r="E56" s="26">
        <f t="shared" si="8"/>
        <v>0</v>
      </c>
      <c r="F56" s="26">
        <v>1182.6</v>
      </c>
      <c r="G56" s="26">
        <f t="shared" si="9"/>
        <v>0</v>
      </c>
      <c r="H56" s="26">
        <v>5000.0</v>
      </c>
      <c r="I56" s="26">
        <f t="shared" si="10"/>
        <v>5000</v>
      </c>
      <c r="J56" s="16">
        <v>45816.0</v>
      </c>
      <c r="K56" s="12"/>
      <c r="L56" s="17" t="s">
        <v>143</v>
      </c>
      <c r="M56" s="26">
        <f t="shared" si="11"/>
        <v>0</v>
      </c>
      <c r="N56" s="12"/>
      <c r="O56" s="29"/>
      <c r="P56" s="15">
        <f t="shared" si="12"/>
        <v>5000</v>
      </c>
      <c r="Q56" s="15"/>
    </row>
    <row r="57" ht="22.5" customHeight="1">
      <c r="A57" s="26">
        <v>56.0</v>
      </c>
      <c r="B57" s="12" t="str">
        <f>Usuarios!B57 &amp; " " &amp; Usuarios!C57 &amp; " " &amp; Usuarios!D57
</f>
        <v>Mario  Velasquez </v>
      </c>
      <c r="C57" s="26">
        <f t="shared" si="7"/>
        <v>22</v>
      </c>
      <c r="D57" s="27">
        <v>36.0</v>
      </c>
      <c r="E57" s="26">
        <f t="shared" si="8"/>
        <v>14</v>
      </c>
      <c r="F57" s="26">
        <v>1182.6</v>
      </c>
      <c r="G57" s="26">
        <f t="shared" si="9"/>
        <v>16556.4</v>
      </c>
      <c r="H57" s="26">
        <v>5000.0</v>
      </c>
      <c r="I57" s="26">
        <f t="shared" si="10"/>
        <v>21556.4</v>
      </c>
      <c r="J57" s="16">
        <v>45816.0</v>
      </c>
      <c r="K57" s="12"/>
      <c r="L57" s="17" t="s">
        <v>143</v>
      </c>
      <c r="M57" s="26">
        <f t="shared" si="11"/>
        <v>0</v>
      </c>
      <c r="N57" s="12"/>
      <c r="O57" s="29"/>
      <c r="P57" s="15">
        <f t="shared" si="12"/>
        <v>21556.4</v>
      </c>
      <c r="Q57" s="15"/>
    </row>
    <row r="58" ht="22.5" customHeight="1">
      <c r="A58" s="26">
        <v>57.0</v>
      </c>
      <c r="B58" s="12" t="str">
        <f>Usuarios!B58 &amp; " " &amp; Usuarios!C58 &amp; " " &amp; Usuarios!D58
</f>
        <v>Lishby  Fuentes  Diaz</v>
      </c>
      <c r="C58" s="26">
        <f t="shared" si="7"/>
        <v>0</v>
      </c>
      <c r="D58" s="28">
        <v>0.0</v>
      </c>
      <c r="E58" s="26">
        <f t="shared" si="8"/>
        <v>0</v>
      </c>
      <c r="F58" s="26">
        <v>1182.6</v>
      </c>
      <c r="G58" s="26">
        <f t="shared" si="9"/>
        <v>0</v>
      </c>
      <c r="H58" s="26">
        <v>5000.0</v>
      </c>
      <c r="I58" s="26">
        <f t="shared" si="10"/>
        <v>5000</v>
      </c>
      <c r="J58" s="16">
        <v>45816.0</v>
      </c>
      <c r="K58" s="12"/>
      <c r="L58" s="17" t="s">
        <v>144</v>
      </c>
      <c r="M58" s="26">
        <f t="shared" si="11"/>
        <v>0</v>
      </c>
      <c r="N58" s="12"/>
      <c r="O58" s="29"/>
      <c r="P58" s="15">
        <f t="shared" si="12"/>
        <v>0</v>
      </c>
      <c r="Q58" s="15"/>
    </row>
  </sheetData>
  <conditionalFormatting sqref="Q2:Q21 Q23:Q58">
    <cfRule type="containsText" dxfId="8" priority="1" operator="containsText" text="NO APLICA">
      <formula>NOT(ISERROR(SEARCH(("NO APLICA"),(Q2))))</formula>
    </cfRule>
  </conditionalFormatting>
  <conditionalFormatting sqref="Q2:Q21 Q23:Q58">
    <cfRule type="containsText" dxfId="8" priority="2" operator="containsText" text="NO APLICA">
      <formula>NOT(ISERROR(SEARCH(("NO APLICA"),(Q2))))</formula>
    </cfRule>
  </conditionalFormatting>
  <conditionalFormatting sqref="L2:L21 L23:L58">
    <cfRule type="containsText" dxfId="6" priority="3" operator="containsText" text="PENDIENTE">
      <formula>NOT(ISERROR(SEARCH(("PENDIENTE"),(L2))))</formula>
    </cfRule>
  </conditionalFormatting>
  <conditionalFormatting sqref="L2:L21 L23:L58">
    <cfRule type="containsText" dxfId="7" priority="4" operator="containsText" text="PAGADO">
      <formula>NOT(ISERROR(SEARCH(("PAGADO"),(L2))))</formula>
    </cfRule>
  </conditionalFormatting>
  <dataValidations>
    <dataValidation type="custom" allowBlank="1" showDropDown="1" sqref="P2:P58">
      <formula1>AND(ISNUMBER(P2),(NOT(OR(NOT(ISERROR(DATEVALUE(P2))), AND(ISNUMBER(P2), LEFT(CELL("format", P2))="D")))))</formula1>
    </dataValidation>
    <dataValidation type="list" allowBlank="1" sqref="O2:O58">
      <formula1>"EFECTIVO,TRANSFERENCIA,CHEQUE,TARJETA"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4.29"/>
    <col customWidth="1" min="3" max="3" width="29.29"/>
    <col customWidth="1" min="4" max="4" width="19.29"/>
    <col customWidth="1" min="5" max="5" width="37.57"/>
    <col customWidth="1" min="6" max="6" width="19.14"/>
    <col customWidth="1" min="7" max="7" width="28.0"/>
    <col customWidth="1" min="8" max="8" width="19.43"/>
    <col customWidth="1" min="9" max="9" width="16.14"/>
    <col customWidth="1" min="10" max="10" width="20.43"/>
    <col customWidth="1" min="11" max="11" width="20.57"/>
    <col customWidth="1" min="12" max="12" width="21.14"/>
    <col customWidth="1" min="13" max="13" width="19.57"/>
    <col customWidth="1" min="14" max="14" width="24.71"/>
    <col customWidth="1" min="15" max="15" width="29.86"/>
    <col customWidth="1" min="16" max="16" width="25.86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26">
        <v>1.0</v>
      </c>
      <c r="B2" s="12" t="str">
        <f>Usuarios!B2 &amp; " " &amp; Usuarios!C2 &amp; " " &amp; Usuarios!D2
</f>
        <v>Nancy Zuñiga Villarroel</v>
      </c>
      <c r="C2" s="26">
        <f t="shared" ref="C2:C21" si="1">INDEX(INDIRECT("'" &amp; TEXT(EDATE(J2,-2),"mm-yyyy") &amp; "'!D:D"),
   MATCH(A2,INDIRECT("'" &amp; TEXT(EDATE(J2,-2),"mm-yyyy") &amp; "'!A:A"),0))
</f>
        <v>212</v>
      </c>
      <c r="D2" s="27">
        <v>222.0</v>
      </c>
      <c r="E2" s="26">
        <f t="shared" ref="E2:E21" si="2">D2-C2</f>
        <v>10</v>
      </c>
      <c r="F2" s="26">
        <v>1182.6</v>
      </c>
      <c r="G2" s="26">
        <f t="shared" ref="G2:G21" si="3">E2*F2</f>
        <v>11826</v>
      </c>
      <c r="H2" s="26">
        <v>5000.0</v>
      </c>
      <c r="I2" s="26">
        <f t="shared" ref="I2:I21" si="4">E2*F2+H2</f>
        <v>16826</v>
      </c>
      <c r="J2" s="16">
        <v>45846.0</v>
      </c>
      <c r="K2" s="12"/>
      <c r="L2" s="17" t="s">
        <v>143</v>
      </c>
      <c r="M2" s="26">
        <f t="shared" ref="M2:M21" si="5">IF(L2="Pagado", I2, 0)</f>
        <v>0</v>
      </c>
      <c r="N2" s="12"/>
      <c r="O2" s="29"/>
      <c r="P2" s="15">
        <f t="shared" ref="P2:P21" si="6">IF(L2="NO APLICA",0, (I2-M2))</f>
        <v>16826</v>
      </c>
      <c r="Q2" s="15"/>
    </row>
    <row r="3" ht="22.5" customHeight="1">
      <c r="A3" s="26">
        <v>2.0</v>
      </c>
      <c r="B3" s="12" t="str">
        <f>Usuarios!B3 &amp; " " &amp; Usuarios!C3 &amp; " " &amp; Usuarios!D3
</f>
        <v>Gabriel Barria Zuñiga</v>
      </c>
      <c r="C3" s="26">
        <f t="shared" si="1"/>
        <v>334</v>
      </c>
      <c r="D3" s="27">
        <v>351.0</v>
      </c>
      <c r="E3" s="26">
        <f t="shared" si="2"/>
        <v>17</v>
      </c>
      <c r="F3" s="26">
        <v>1182.6</v>
      </c>
      <c r="G3" s="26">
        <f t="shared" si="3"/>
        <v>20104.2</v>
      </c>
      <c r="H3" s="26">
        <v>5000.0</v>
      </c>
      <c r="I3" s="26">
        <f t="shared" si="4"/>
        <v>25104.2</v>
      </c>
      <c r="J3" s="16">
        <v>45846.0</v>
      </c>
      <c r="K3" s="12"/>
      <c r="L3" s="17" t="s">
        <v>143</v>
      </c>
      <c r="M3" s="26">
        <f t="shared" si="5"/>
        <v>0</v>
      </c>
      <c r="N3" s="12"/>
      <c r="O3" s="29"/>
      <c r="P3" s="15">
        <f t="shared" si="6"/>
        <v>25104.2</v>
      </c>
      <c r="Q3" s="15"/>
    </row>
    <row r="4" ht="22.5" customHeight="1">
      <c r="A4" s="26">
        <v>3.0</v>
      </c>
      <c r="B4" s="12" t="str">
        <f>Usuarios!B4 &amp; " " &amp; Usuarios!C4 &amp; " " &amp; Usuarios!D4
</f>
        <v>Gino  Reyes </v>
      </c>
      <c r="C4" s="26">
        <f t="shared" si="1"/>
        <v>75</v>
      </c>
      <c r="D4" s="27">
        <v>1.0</v>
      </c>
      <c r="E4" s="26">
        <f t="shared" si="2"/>
        <v>-74</v>
      </c>
      <c r="F4" s="26">
        <v>1182.6</v>
      </c>
      <c r="G4" s="26">
        <f t="shared" si="3"/>
        <v>-87512.4</v>
      </c>
      <c r="H4" s="26">
        <v>5000.0</v>
      </c>
      <c r="I4" s="26">
        <f t="shared" si="4"/>
        <v>-82512.4</v>
      </c>
      <c r="J4" s="16">
        <v>45846.0</v>
      </c>
      <c r="K4" s="12"/>
      <c r="L4" s="17" t="s">
        <v>143</v>
      </c>
      <c r="M4" s="26">
        <f t="shared" si="5"/>
        <v>0</v>
      </c>
      <c r="N4" s="12"/>
      <c r="O4" s="29"/>
      <c r="P4" s="15">
        <f t="shared" si="6"/>
        <v>-82512.4</v>
      </c>
      <c r="Q4" s="15"/>
    </row>
    <row r="5" ht="22.5" customHeight="1">
      <c r="A5" s="26">
        <v>4.0</v>
      </c>
      <c r="B5" s="12" t="str">
        <f>Usuarios!B5 &amp; " " &amp; Usuarios!C5 &amp; " " &amp; Usuarios!D5
</f>
        <v>Cristian  Oyarzo </v>
      </c>
      <c r="C5" s="26">
        <f t="shared" si="1"/>
        <v>553</v>
      </c>
      <c r="D5" s="27">
        <v>581.0</v>
      </c>
      <c r="E5" s="26">
        <f t="shared" si="2"/>
        <v>28</v>
      </c>
      <c r="F5" s="26">
        <v>1182.6</v>
      </c>
      <c r="G5" s="26">
        <f t="shared" si="3"/>
        <v>33112.8</v>
      </c>
      <c r="H5" s="26">
        <v>5000.0</v>
      </c>
      <c r="I5" s="26">
        <f t="shared" si="4"/>
        <v>38112.8</v>
      </c>
      <c r="J5" s="16">
        <v>45846.0</v>
      </c>
      <c r="K5" s="12"/>
      <c r="L5" s="17" t="s">
        <v>143</v>
      </c>
      <c r="M5" s="26">
        <f t="shared" si="5"/>
        <v>0</v>
      </c>
      <c r="N5" s="12"/>
      <c r="O5" s="29"/>
      <c r="P5" s="15">
        <f t="shared" si="6"/>
        <v>38112.8</v>
      </c>
      <c r="Q5" s="15"/>
    </row>
    <row r="6" ht="22.5" customHeight="1">
      <c r="A6" s="26">
        <v>5.0</v>
      </c>
      <c r="B6" s="12" t="str">
        <f>Usuarios!B6 &amp; " " &amp; Usuarios!C6 &amp; " " &amp; Usuarios!D6
</f>
        <v>Marisol  Castro </v>
      </c>
      <c r="C6" s="26">
        <f t="shared" si="1"/>
        <v>117</v>
      </c>
      <c r="D6" s="27">
        <v>123.0</v>
      </c>
      <c r="E6" s="26">
        <f t="shared" si="2"/>
        <v>6</v>
      </c>
      <c r="F6" s="26">
        <v>1182.6</v>
      </c>
      <c r="G6" s="26">
        <f t="shared" si="3"/>
        <v>7095.6</v>
      </c>
      <c r="H6" s="26">
        <v>5000.0</v>
      </c>
      <c r="I6" s="26">
        <f t="shared" si="4"/>
        <v>12095.6</v>
      </c>
      <c r="J6" s="16">
        <v>45846.0</v>
      </c>
      <c r="K6" s="12"/>
      <c r="L6" s="17" t="s">
        <v>143</v>
      </c>
      <c r="M6" s="26">
        <f t="shared" si="5"/>
        <v>0</v>
      </c>
      <c r="N6" s="12"/>
      <c r="O6" s="29"/>
      <c r="P6" s="15">
        <f t="shared" si="6"/>
        <v>12095.6</v>
      </c>
      <c r="Q6" s="15"/>
    </row>
    <row r="7" ht="22.5" customHeight="1">
      <c r="A7" s="26">
        <v>6.0</v>
      </c>
      <c r="B7" s="12" t="str">
        <f>Usuarios!B7 &amp; " " &amp; Usuarios!C7 &amp; " " &amp; Usuarios!D7
</f>
        <v>Mauricio  Muñoz </v>
      </c>
      <c r="C7" s="26">
        <f t="shared" si="1"/>
        <v>208</v>
      </c>
      <c r="D7" s="27">
        <v>220.0</v>
      </c>
      <c r="E7" s="26">
        <f t="shared" si="2"/>
        <v>12</v>
      </c>
      <c r="F7" s="26">
        <v>1182.6</v>
      </c>
      <c r="G7" s="26">
        <f t="shared" si="3"/>
        <v>14191.2</v>
      </c>
      <c r="H7" s="26">
        <v>5000.0</v>
      </c>
      <c r="I7" s="26">
        <f t="shared" si="4"/>
        <v>19191.2</v>
      </c>
      <c r="J7" s="16">
        <v>45846.0</v>
      </c>
      <c r="K7" s="12"/>
      <c r="L7" s="17" t="s">
        <v>143</v>
      </c>
      <c r="M7" s="26">
        <f t="shared" si="5"/>
        <v>0</v>
      </c>
      <c r="N7" s="12"/>
      <c r="O7" s="29"/>
      <c r="P7" s="15">
        <f t="shared" si="6"/>
        <v>19191.2</v>
      </c>
      <c r="Q7" s="15"/>
    </row>
    <row r="8" ht="22.5" customHeight="1">
      <c r="A8" s="26">
        <v>7.0</v>
      </c>
      <c r="B8" s="12" t="str">
        <f>Usuarios!B8 &amp; " " &amp; Usuarios!C8 &amp; " " &amp; Usuarios!D8
</f>
        <v>Marcelo  Millanao </v>
      </c>
      <c r="C8" s="26">
        <f t="shared" si="1"/>
        <v>263</v>
      </c>
      <c r="D8" s="27">
        <v>272.0</v>
      </c>
      <c r="E8" s="26">
        <f t="shared" si="2"/>
        <v>9</v>
      </c>
      <c r="F8" s="26">
        <v>1182.6</v>
      </c>
      <c r="G8" s="26">
        <f t="shared" si="3"/>
        <v>10643.4</v>
      </c>
      <c r="H8" s="26">
        <v>5000.0</v>
      </c>
      <c r="I8" s="26">
        <f t="shared" si="4"/>
        <v>15643.4</v>
      </c>
      <c r="J8" s="16">
        <v>45846.0</v>
      </c>
      <c r="K8" s="12"/>
      <c r="L8" s="17" t="s">
        <v>143</v>
      </c>
      <c r="M8" s="26">
        <f t="shared" si="5"/>
        <v>0</v>
      </c>
      <c r="N8" s="12"/>
      <c r="O8" s="29"/>
      <c r="P8" s="15">
        <f t="shared" si="6"/>
        <v>15643.4</v>
      </c>
      <c r="Q8" s="15"/>
    </row>
    <row r="9" ht="22.5" customHeight="1">
      <c r="A9" s="26">
        <v>8.0</v>
      </c>
      <c r="B9" s="12" t="str">
        <f>Usuarios!B9 &amp; " " &amp; Usuarios!C9 &amp; " " &amp; Usuarios!D9
</f>
        <v>Gabriel  Farias </v>
      </c>
      <c r="C9" s="26">
        <f t="shared" si="1"/>
        <v>482</v>
      </c>
      <c r="D9" s="27">
        <v>508.0</v>
      </c>
      <c r="E9" s="26">
        <f t="shared" si="2"/>
        <v>26</v>
      </c>
      <c r="F9" s="26">
        <v>1182.6</v>
      </c>
      <c r="G9" s="26">
        <f t="shared" si="3"/>
        <v>30747.6</v>
      </c>
      <c r="H9" s="26">
        <v>5000.0</v>
      </c>
      <c r="I9" s="26">
        <f t="shared" si="4"/>
        <v>35747.6</v>
      </c>
      <c r="J9" s="16">
        <v>45846.0</v>
      </c>
      <c r="K9" s="12"/>
      <c r="L9" s="17" t="s">
        <v>143</v>
      </c>
      <c r="M9" s="26">
        <f t="shared" si="5"/>
        <v>0</v>
      </c>
      <c r="N9" s="12"/>
      <c r="O9" s="29"/>
      <c r="P9" s="15">
        <f t="shared" si="6"/>
        <v>35747.6</v>
      </c>
      <c r="Q9" s="15"/>
    </row>
    <row r="10" ht="22.5" customHeight="1">
      <c r="A10" s="26">
        <v>9.0</v>
      </c>
      <c r="B10" s="12" t="str">
        <f>Usuarios!B10 &amp; " " &amp; Usuarios!C10 &amp; " " &amp; Usuarios!D10
</f>
        <v>Maria  Marin </v>
      </c>
      <c r="C10" s="26">
        <f t="shared" si="1"/>
        <v>193</v>
      </c>
      <c r="D10" s="27">
        <v>202.0</v>
      </c>
      <c r="E10" s="26">
        <f t="shared" si="2"/>
        <v>9</v>
      </c>
      <c r="F10" s="26">
        <v>1182.6</v>
      </c>
      <c r="G10" s="26">
        <f t="shared" si="3"/>
        <v>10643.4</v>
      </c>
      <c r="H10" s="26">
        <v>5000.0</v>
      </c>
      <c r="I10" s="26">
        <f t="shared" si="4"/>
        <v>15643.4</v>
      </c>
      <c r="J10" s="16">
        <v>45846.0</v>
      </c>
      <c r="K10" s="12"/>
      <c r="L10" s="17" t="s">
        <v>143</v>
      </c>
      <c r="M10" s="26">
        <f t="shared" si="5"/>
        <v>0</v>
      </c>
      <c r="N10" s="12"/>
      <c r="O10" s="29"/>
      <c r="P10" s="15">
        <f t="shared" si="6"/>
        <v>15643.4</v>
      </c>
      <c r="Q10" s="15"/>
    </row>
    <row r="11" ht="22.5" customHeight="1">
      <c r="A11" s="26">
        <v>10.0</v>
      </c>
      <c r="B11" s="12" t="str">
        <f>Usuarios!B11 &amp; " " &amp; Usuarios!C11 &amp; " " &amp; Usuarios!D11
</f>
        <v>David  Cartes </v>
      </c>
      <c r="C11" s="26">
        <f t="shared" si="1"/>
        <v>130</v>
      </c>
      <c r="D11" s="27">
        <v>140.0</v>
      </c>
      <c r="E11" s="26">
        <f t="shared" si="2"/>
        <v>10</v>
      </c>
      <c r="F11" s="26">
        <v>1182.6</v>
      </c>
      <c r="G11" s="26">
        <f t="shared" si="3"/>
        <v>11826</v>
      </c>
      <c r="H11" s="26">
        <v>5000.0</v>
      </c>
      <c r="I11" s="26">
        <f t="shared" si="4"/>
        <v>16826</v>
      </c>
      <c r="J11" s="16">
        <v>45846.0</v>
      </c>
      <c r="K11" s="12"/>
      <c r="L11" s="17" t="s">
        <v>143</v>
      </c>
      <c r="M11" s="26">
        <f t="shared" si="5"/>
        <v>0</v>
      </c>
      <c r="N11" s="12"/>
      <c r="O11" s="29"/>
      <c r="P11" s="15">
        <f t="shared" si="6"/>
        <v>16826</v>
      </c>
      <c r="Q11" s="15"/>
    </row>
    <row r="12" ht="22.5" customHeight="1">
      <c r="A12" s="26">
        <v>11.0</v>
      </c>
      <c r="B12" s="12" t="str">
        <f>Usuarios!B12 &amp; " " &amp; Usuarios!C12 &amp; " " &amp; Usuarios!D12
</f>
        <v>Miguel  Ñanco </v>
      </c>
      <c r="C12" s="26">
        <f t="shared" si="1"/>
        <v>240</v>
      </c>
      <c r="D12" s="27">
        <v>0.0</v>
      </c>
      <c r="E12" s="26">
        <f t="shared" si="2"/>
        <v>-240</v>
      </c>
      <c r="F12" s="26">
        <v>1182.6</v>
      </c>
      <c r="G12" s="26">
        <f t="shared" si="3"/>
        <v>-283824</v>
      </c>
      <c r="H12" s="26">
        <v>5000.0</v>
      </c>
      <c r="I12" s="26">
        <f t="shared" si="4"/>
        <v>-278824</v>
      </c>
      <c r="J12" s="16">
        <v>45846.0</v>
      </c>
      <c r="K12" s="12"/>
      <c r="L12" s="17" t="s">
        <v>143</v>
      </c>
      <c r="M12" s="26">
        <f t="shared" si="5"/>
        <v>0</v>
      </c>
      <c r="N12" s="12"/>
      <c r="O12" s="29"/>
      <c r="P12" s="15">
        <f t="shared" si="6"/>
        <v>-278824</v>
      </c>
      <c r="Q12" s="15"/>
    </row>
    <row r="13" ht="22.5" customHeight="1">
      <c r="A13" s="26">
        <v>12.0</v>
      </c>
      <c r="B13" s="12" t="str">
        <f>Usuarios!B13 &amp; " " &amp; Usuarios!C13 &amp; " " &amp; Usuarios!D13
</f>
        <v>Pedro  Contreras </v>
      </c>
      <c r="C13" s="26">
        <f t="shared" si="1"/>
        <v>122</v>
      </c>
      <c r="D13" s="27">
        <v>129.0</v>
      </c>
      <c r="E13" s="26">
        <f t="shared" si="2"/>
        <v>7</v>
      </c>
      <c r="F13" s="26">
        <v>1182.6</v>
      </c>
      <c r="G13" s="26">
        <f t="shared" si="3"/>
        <v>8278.2</v>
      </c>
      <c r="H13" s="26">
        <v>5000.0</v>
      </c>
      <c r="I13" s="26">
        <f t="shared" si="4"/>
        <v>13278.2</v>
      </c>
      <c r="J13" s="16">
        <v>45846.0</v>
      </c>
      <c r="K13" s="12"/>
      <c r="L13" s="17" t="s">
        <v>143</v>
      </c>
      <c r="M13" s="26">
        <f t="shared" si="5"/>
        <v>0</v>
      </c>
      <c r="N13" s="12"/>
      <c r="O13" s="29"/>
      <c r="P13" s="15">
        <f t="shared" si="6"/>
        <v>13278.2</v>
      </c>
      <c r="Q13" s="15"/>
    </row>
    <row r="14" ht="22.5" customHeight="1">
      <c r="A14" s="26">
        <v>13.0</v>
      </c>
      <c r="B14" s="12" t="str">
        <f>Usuarios!B14 &amp; " " &amp; Usuarios!C14 &amp; " " &amp; Usuarios!D14
</f>
        <v>Carlos  Gamin </v>
      </c>
      <c r="C14" s="26">
        <f t="shared" si="1"/>
        <v>202</v>
      </c>
      <c r="D14" s="27">
        <v>210.0</v>
      </c>
      <c r="E14" s="26">
        <f t="shared" si="2"/>
        <v>8</v>
      </c>
      <c r="F14" s="26">
        <v>1182.6</v>
      </c>
      <c r="G14" s="26">
        <f t="shared" si="3"/>
        <v>9460.8</v>
      </c>
      <c r="H14" s="26">
        <v>5000.0</v>
      </c>
      <c r="I14" s="26">
        <f t="shared" si="4"/>
        <v>14460.8</v>
      </c>
      <c r="J14" s="16">
        <v>45846.0</v>
      </c>
      <c r="K14" s="12"/>
      <c r="L14" s="17" t="s">
        <v>143</v>
      </c>
      <c r="M14" s="26">
        <f t="shared" si="5"/>
        <v>0</v>
      </c>
      <c r="N14" s="12"/>
      <c r="O14" s="29"/>
      <c r="P14" s="15">
        <f t="shared" si="6"/>
        <v>14460.8</v>
      </c>
      <c r="Q14" s="15"/>
    </row>
    <row r="15" ht="22.5" customHeight="1">
      <c r="A15" s="26">
        <v>14.0</v>
      </c>
      <c r="B15" s="12" t="str">
        <f>Usuarios!B15 &amp; " " &amp; Usuarios!C15 &amp; " " &amp; Usuarios!D15
</f>
        <v>Ramona  Mansilla </v>
      </c>
      <c r="C15" s="26">
        <f t="shared" si="1"/>
        <v>54</v>
      </c>
      <c r="D15" s="27">
        <v>56.0</v>
      </c>
      <c r="E15" s="26">
        <f t="shared" si="2"/>
        <v>2</v>
      </c>
      <c r="F15" s="26">
        <v>1182.6</v>
      </c>
      <c r="G15" s="26">
        <f t="shared" si="3"/>
        <v>2365.2</v>
      </c>
      <c r="H15" s="26">
        <v>5000.0</v>
      </c>
      <c r="I15" s="26">
        <f t="shared" si="4"/>
        <v>7365.2</v>
      </c>
      <c r="J15" s="16">
        <v>45846.0</v>
      </c>
      <c r="K15" s="12"/>
      <c r="L15" s="17" t="s">
        <v>143</v>
      </c>
      <c r="M15" s="26">
        <f t="shared" si="5"/>
        <v>0</v>
      </c>
      <c r="N15" s="12"/>
      <c r="O15" s="29"/>
      <c r="P15" s="15">
        <f t="shared" si="6"/>
        <v>7365.2</v>
      </c>
      <c r="Q15" s="15"/>
    </row>
    <row r="16" ht="22.5" customHeight="1">
      <c r="A16" s="26">
        <v>15.0</v>
      </c>
      <c r="B16" s="12" t="str">
        <f>Usuarios!B16 &amp; " " &amp; Usuarios!C16 &amp; " " &amp; Usuarios!D16
</f>
        <v>Sandra Mancilla  Merino</v>
      </c>
      <c r="C16" s="26">
        <f t="shared" si="1"/>
        <v>155</v>
      </c>
      <c r="D16" s="27">
        <v>165.0</v>
      </c>
      <c r="E16" s="26">
        <f t="shared" si="2"/>
        <v>10</v>
      </c>
      <c r="F16" s="26">
        <v>1182.6</v>
      </c>
      <c r="G16" s="26">
        <f t="shared" si="3"/>
        <v>11826</v>
      </c>
      <c r="H16" s="26">
        <v>5000.0</v>
      </c>
      <c r="I16" s="26">
        <f t="shared" si="4"/>
        <v>16826</v>
      </c>
      <c r="J16" s="16">
        <v>45846.0</v>
      </c>
      <c r="K16" s="12"/>
      <c r="L16" s="17" t="s">
        <v>143</v>
      </c>
      <c r="M16" s="26">
        <f t="shared" si="5"/>
        <v>0</v>
      </c>
      <c r="N16" s="12"/>
      <c r="O16" s="29"/>
      <c r="P16" s="15">
        <f t="shared" si="6"/>
        <v>16826</v>
      </c>
      <c r="Q16" s="15"/>
    </row>
    <row r="17" ht="22.5" customHeight="1">
      <c r="A17" s="26">
        <v>16.0</v>
      </c>
      <c r="B17" s="12" t="str">
        <f>Usuarios!B17 &amp; " " &amp; Usuarios!C17 &amp; " " &amp; Usuarios!D17
</f>
        <v>Carlos  Agüero </v>
      </c>
      <c r="C17" s="26">
        <f t="shared" si="1"/>
        <v>191</v>
      </c>
      <c r="D17" s="27">
        <v>205.0</v>
      </c>
      <c r="E17" s="26">
        <f t="shared" si="2"/>
        <v>14</v>
      </c>
      <c r="F17" s="26">
        <v>1182.6</v>
      </c>
      <c r="G17" s="26">
        <f t="shared" si="3"/>
        <v>16556.4</v>
      </c>
      <c r="H17" s="26">
        <v>5000.0</v>
      </c>
      <c r="I17" s="26">
        <f t="shared" si="4"/>
        <v>21556.4</v>
      </c>
      <c r="J17" s="16">
        <v>45846.0</v>
      </c>
      <c r="K17" s="12"/>
      <c r="L17" s="17" t="s">
        <v>143</v>
      </c>
      <c r="M17" s="26">
        <f t="shared" si="5"/>
        <v>0</v>
      </c>
      <c r="N17" s="12"/>
      <c r="O17" s="29"/>
      <c r="P17" s="15">
        <f t="shared" si="6"/>
        <v>21556.4</v>
      </c>
      <c r="Q17" s="15"/>
    </row>
    <row r="18" ht="22.5" customHeight="1">
      <c r="A18" s="26">
        <v>17.0</v>
      </c>
      <c r="B18" s="12" t="str">
        <f>Usuarios!B18 &amp; " " &amp; Usuarios!C18 &amp; " " &amp; Usuarios!D18
</f>
        <v>Joaquin  Claramunt </v>
      </c>
      <c r="C18" s="26">
        <f t="shared" si="1"/>
        <v>183</v>
      </c>
      <c r="D18" s="27">
        <v>194.0</v>
      </c>
      <c r="E18" s="26">
        <f t="shared" si="2"/>
        <v>11</v>
      </c>
      <c r="F18" s="26">
        <v>1182.6</v>
      </c>
      <c r="G18" s="26">
        <f t="shared" si="3"/>
        <v>13008.6</v>
      </c>
      <c r="H18" s="26">
        <v>5000.0</v>
      </c>
      <c r="I18" s="26">
        <f t="shared" si="4"/>
        <v>18008.6</v>
      </c>
      <c r="J18" s="16">
        <v>45846.0</v>
      </c>
      <c r="K18" s="12"/>
      <c r="L18" s="17" t="s">
        <v>143</v>
      </c>
      <c r="M18" s="26">
        <f t="shared" si="5"/>
        <v>0</v>
      </c>
      <c r="N18" s="12"/>
      <c r="O18" s="29"/>
      <c r="P18" s="15">
        <f t="shared" si="6"/>
        <v>18008.6</v>
      </c>
      <c r="Q18" s="15"/>
    </row>
    <row r="19" ht="22.5" customHeight="1">
      <c r="A19" s="26">
        <v>18.0</v>
      </c>
      <c r="B19" s="12" t="str">
        <f>Usuarios!B19 &amp; " " &amp; Usuarios!C19 &amp; " " &amp; Usuarios!D19
</f>
        <v>Nelson  Mansilla </v>
      </c>
      <c r="C19" s="26">
        <f t="shared" si="1"/>
        <v>140</v>
      </c>
      <c r="D19" s="27">
        <v>147.0</v>
      </c>
      <c r="E19" s="26">
        <f t="shared" si="2"/>
        <v>7</v>
      </c>
      <c r="F19" s="26">
        <v>1182.6</v>
      </c>
      <c r="G19" s="26">
        <f t="shared" si="3"/>
        <v>8278.2</v>
      </c>
      <c r="H19" s="26">
        <v>5000.0</v>
      </c>
      <c r="I19" s="26">
        <f t="shared" si="4"/>
        <v>13278.2</v>
      </c>
      <c r="J19" s="16">
        <v>45846.0</v>
      </c>
      <c r="K19" s="12"/>
      <c r="L19" s="17" t="s">
        <v>143</v>
      </c>
      <c r="M19" s="26">
        <f t="shared" si="5"/>
        <v>0</v>
      </c>
      <c r="N19" s="12"/>
      <c r="O19" s="29"/>
      <c r="P19" s="15">
        <f t="shared" si="6"/>
        <v>13278.2</v>
      </c>
      <c r="Q19" s="15"/>
    </row>
    <row r="20" ht="22.5" customHeight="1">
      <c r="A20" s="26">
        <v>19.0</v>
      </c>
      <c r="B20" s="12" t="str">
        <f>Usuarios!B20 &amp; " " &amp; Usuarios!C20 &amp; " " &amp; Usuarios!D20
</f>
        <v>Eduardo  Chavez </v>
      </c>
      <c r="C20" s="26">
        <f t="shared" si="1"/>
        <v>87</v>
      </c>
      <c r="D20" s="27">
        <v>93.0</v>
      </c>
      <c r="E20" s="26">
        <f t="shared" si="2"/>
        <v>6</v>
      </c>
      <c r="F20" s="26">
        <v>1182.6</v>
      </c>
      <c r="G20" s="26">
        <f t="shared" si="3"/>
        <v>7095.6</v>
      </c>
      <c r="H20" s="26">
        <v>5000.0</v>
      </c>
      <c r="I20" s="26">
        <f t="shared" si="4"/>
        <v>12095.6</v>
      </c>
      <c r="J20" s="16">
        <v>45846.0</v>
      </c>
      <c r="K20" s="12"/>
      <c r="L20" s="17" t="s">
        <v>146</v>
      </c>
      <c r="M20" s="26">
        <f t="shared" si="5"/>
        <v>12095.6</v>
      </c>
      <c r="N20" s="12"/>
      <c r="O20" s="29"/>
      <c r="P20" s="15">
        <f t="shared" si="6"/>
        <v>0</v>
      </c>
      <c r="Q20" s="15"/>
    </row>
    <row r="21" ht="22.5" customHeight="1">
      <c r="A21" s="26">
        <v>20.0</v>
      </c>
      <c r="B21" s="12" t="str">
        <f>Usuarios!B21 &amp; " " &amp; Usuarios!C21 &amp; " " &amp; Usuarios!D21
</f>
        <v>Juan  Chavez </v>
      </c>
      <c r="C21" s="26">
        <f t="shared" si="1"/>
        <v>26</v>
      </c>
      <c r="D21" s="27">
        <v>28.0</v>
      </c>
      <c r="E21" s="26">
        <f t="shared" si="2"/>
        <v>2</v>
      </c>
      <c r="F21" s="26">
        <v>1182.6</v>
      </c>
      <c r="G21" s="26">
        <f t="shared" si="3"/>
        <v>2365.2</v>
      </c>
      <c r="H21" s="26">
        <v>5000.0</v>
      </c>
      <c r="I21" s="26">
        <f t="shared" si="4"/>
        <v>7365.2</v>
      </c>
      <c r="J21" s="16">
        <v>45846.0</v>
      </c>
      <c r="K21" s="12"/>
      <c r="L21" s="17" t="s">
        <v>143</v>
      </c>
      <c r="M21" s="26">
        <f t="shared" si="5"/>
        <v>0</v>
      </c>
      <c r="N21" s="12"/>
      <c r="O21" s="29"/>
      <c r="P21" s="15">
        <f t="shared" si="6"/>
        <v>7365.2</v>
      </c>
      <c r="Q21" s="15"/>
    </row>
    <row r="22" ht="22.5" customHeight="1">
      <c r="A22" s="34"/>
      <c r="B22" s="34"/>
      <c r="C22" s="34"/>
      <c r="D22" s="34"/>
      <c r="E22" s="34"/>
      <c r="F22" s="34"/>
      <c r="G22" s="34"/>
      <c r="H22" s="34"/>
      <c r="I22" s="25"/>
      <c r="J22" s="25"/>
      <c r="K22" s="25"/>
      <c r="L22" s="35"/>
      <c r="M22" s="25"/>
      <c r="N22" s="25"/>
      <c r="O22" s="35"/>
      <c r="P22" s="22"/>
      <c r="Q22" s="22"/>
    </row>
    <row r="23" ht="22.5" customHeight="1">
      <c r="A23" s="26">
        <v>22.0</v>
      </c>
      <c r="B23" s="12" t="str">
        <f>Usuarios!B23 &amp; " " &amp; Usuarios!C23 &amp; " " &amp; Usuarios!D23
</f>
        <v>Yuri  Millaquen </v>
      </c>
      <c r="C23" s="26">
        <f t="shared" ref="C23:C58" si="7">INDEX(INDIRECT("'" &amp; TEXT(EDATE(J23,-2),"mm-yyyy") &amp; "'!D:D"),
   MATCH(A23,INDIRECT("'" &amp; TEXT(EDATE(J23,-2),"mm-yyyy") &amp; "'!A:A"),0))
</f>
        <v>175</v>
      </c>
      <c r="D23" s="27">
        <v>185.0</v>
      </c>
      <c r="E23" s="26">
        <f t="shared" ref="E23:E58" si="8">D23-C23</f>
        <v>10</v>
      </c>
      <c r="F23" s="26">
        <v>1182.6</v>
      </c>
      <c r="G23" s="26">
        <f t="shared" ref="G23:G58" si="9">E23*F23</f>
        <v>11826</v>
      </c>
      <c r="H23" s="26">
        <v>5000.0</v>
      </c>
      <c r="I23" s="26">
        <f t="shared" ref="I23:I58" si="10">E23*F23+H23</f>
        <v>16826</v>
      </c>
      <c r="J23" s="16">
        <v>45846.0</v>
      </c>
      <c r="K23" s="12"/>
      <c r="L23" s="17" t="s">
        <v>143</v>
      </c>
      <c r="M23" s="26">
        <f t="shared" ref="M23:M58" si="11">IF(L23="Pagado", I23, 0)</f>
        <v>0</v>
      </c>
      <c r="N23" s="12"/>
      <c r="O23" s="29"/>
      <c r="P23" s="15">
        <f t="shared" ref="P23:P58" si="12">IF(L23="NO APLICA",0, (I23-M23))</f>
        <v>16826</v>
      </c>
      <c r="Q23" s="15"/>
    </row>
    <row r="24" ht="22.5" customHeight="1">
      <c r="A24" s="26">
        <v>23.0</v>
      </c>
      <c r="B24" s="12" t="str">
        <f>Usuarios!B24 &amp; " " &amp; Usuarios!C24 &amp; " " &amp; Usuarios!D24
</f>
        <v>Carlos  Nahuelpan </v>
      </c>
      <c r="C24" s="26">
        <f t="shared" si="7"/>
        <v>117</v>
      </c>
      <c r="D24" s="27">
        <v>122.0</v>
      </c>
      <c r="E24" s="26">
        <f t="shared" si="8"/>
        <v>5</v>
      </c>
      <c r="F24" s="26">
        <v>1182.6</v>
      </c>
      <c r="G24" s="26">
        <f t="shared" si="9"/>
        <v>5913</v>
      </c>
      <c r="H24" s="26">
        <v>5000.0</v>
      </c>
      <c r="I24" s="26">
        <f t="shared" si="10"/>
        <v>10913</v>
      </c>
      <c r="J24" s="16">
        <v>45846.0</v>
      </c>
      <c r="K24" s="12"/>
      <c r="L24" s="17" t="s">
        <v>143</v>
      </c>
      <c r="M24" s="26">
        <f t="shared" si="11"/>
        <v>0</v>
      </c>
      <c r="N24" s="12"/>
      <c r="O24" s="29"/>
      <c r="P24" s="15">
        <f t="shared" si="12"/>
        <v>10913</v>
      </c>
      <c r="Q24" s="15"/>
    </row>
    <row r="25" ht="22.5" customHeight="1">
      <c r="A25" s="26">
        <v>24.0</v>
      </c>
      <c r="B25" s="12" t="str">
        <f>Usuarios!B25 &amp; " " &amp; Usuarios!C25 &amp; " " &amp; Usuarios!D25
</f>
        <v>Maria Velasquez  Miranda</v>
      </c>
      <c r="C25" s="26">
        <f t="shared" si="7"/>
        <v>285</v>
      </c>
      <c r="D25" s="27">
        <v>292.0</v>
      </c>
      <c r="E25" s="26">
        <f t="shared" si="8"/>
        <v>7</v>
      </c>
      <c r="F25" s="26">
        <v>1182.6</v>
      </c>
      <c r="G25" s="26">
        <f t="shared" si="9"/>
        <v>8278.2</v>
      </c>
      <c r="H25" s="26">
        <v>5000.0</v>
      </c>
      <c r="I25" s="26">
        <f t="shared" si="10"/>
        <v>13278.2</v>
      </c>
      <c r="J25" s="16">
        <v>45846.0</v>
      </c>
      <c r="K25" s="12"/>
      <c r="L25" s="17" t="s">
        <v>143</v>
      </c>
      <c r="M25" s="26">
        <f t="shared" si="11"/>
        <v>0</v>
      </c>
      <c r="N25" s="12"/>
      <c r="O25" s="29"/>
      <c r="P25" s="15">
        <f t="shared" si="12"/>
        <v>13278.2</v>
      </c>
      <c r="Q25" s="15"/>
    </row>
    <row r="26" ht="22.5" customHeight="1">
      <c r="A26" s="26">
        <v>25.0</v>
      </c>
      <c r="B26" s="12" t="str">
        <f>Usuarios!B26 &amp; " " &amp; Usuarios!C26 &amp; " " &amp; Usuarios!D26
</f>
        <v>Inés  Velasquez </v>
      </c>
      <c r="C26" s="26">
        <f t="shared" si="7"/>
        <v>122</v>
      </c>
      <c r="D26" s="27">
        <v>128.0</v>
      </c>
      <c r="E26" s="26">
        <f t="shared" si="8"/>
        <v>6</v>
      </c>
      <c r="F26" s="26">
        <v>1182.6</v>
      </c>
      <c r="G26" s="26">
        <f t="shared" si="9"/>
        <v>7095.6</v>
      </c>
      <c r="H26" s="26">
        <v>5000.0</v>
      </c>
      <c r="I26" s="26">
        <f t="shared" si="10"/>
        <v>12095.6</v>
      </c>
      <c r="J26" s="16">
        <v>45846.0</v>
      </c>
      <c r="K26" s="12"/>
      <c r="L26" s="17" t="s">
        <v>146</v>
      </c>
      <c r="M26" s="26">
        <f t="shared" si="11"/>
        <v>12095.6</v>
      </c>
      <c r="N26" s="12"/>
      <c r="O26" s="29"/>
      <c r="P26" s="15">
        <f t="shared" si="12"/>
        <v>0</v>
      </c>
      <c r="Q26" s="15"/>
    </row>
    <row r="27" ht="22.5" customHeight="1">
      <c r="A27" s="26">
        <v>26.0</v>
      </c>
      <c r="B27" s="12" t="str">
        <f>Usuarios!B27 &amp; " " &amp; Usuarios!C27 &amp; " " &amp; Usuarios!D27
</f>
        <v>Guido  Quintuy </v>
      </c>
      <c r="C27" s="26">
        <f t="shared" si="7"/>
        <v>145</v>
      </c>
      <c r="D27" s="27">
        <v>145.0</v>
      </c>
      <c r="E27" s="26">
        <f t="shared" si="8"/>
        <v>0</v>
      </c>
      <c r="F27" s="26">
        <v>1182.6</v>
      </c>
      <c r="G27" s="26">
        <f t="shared" si="9"/>
        <v>0</v>
      </c>
      <c r="H27" s="26">
        <v>5000.0</v>
      </c>
      <c r="I27" s="26">
        <f t="shared" si="10"/>
        <v>5000</v>
      </c>
      <c r="J27" s="16">
        <v>45846.0</v>
      </c>
      <c r="K27" s="12"/>
      <c r="L27" s="17" t="s">
        <v>144</v>
      </c>
      <c r="M27" s="26">
        <f t="shared" si="11"/>
        <v>0</v>
      </c>
      <c r="N27" s="12"/>
      <c r="O27" s="29"/>
      <c r="P27" s="15">
        <f t="shared" si="12"/>
        <v>0</v>
      </c>
      <c r="Q27" s="15"/>
    </row>
    <row r="28" ht="22.5" customHeight="1">
      <c r="A28" s="26">
        <v>27.0</v>
      </c>
      <c r="B28" s="12" t="str">
        <f>Usuarios!B28 &amp; " " &amp; Usuarios!C28 &amp; " " &amp; Usuarios!D28
</f>
        <v>Pedro  Almonacid </v>
      </c>
      <c r="C28" s="26">
        <f t="shared" si="7"/>
        <v>223</v>
      </c>
      <c r="D28" s="27">
        <v>236.0</v>
      </c>
      <c r="E28" s="26">
        <f t="shared" si="8"/>
        <v>13</v>
      </c>
      <c r="F28" s="26">
        <v>1182.6</v>
      </c>
      <c r="G28" s="26">
        <f t="shared" si="9"/>
        <v>15373.8</v>
      </c>
      <c r="H28" s="26">
        <v>5000.0</v>
      </c>
      <c r="I28" s="26">
        <f t="shared" si="10"/>
        <v>20373.8</v>
      </c>
      <c r="J28" s="16">
        <v>45846.0</v>
      </c>
      <c r="K28" s="12"/>
      <c r="L28" s="17" t="s">
        <v>143</v>
      </c>
      <c r="M28" s="26">
        <f t="shared" si="11"/>
        <v>0</v>
      </c>
      <c r="N28" s="12"/>
      <c r="O28" s="29"/>
      <c r="P28" s="15">
        <f t="shared" si="12"/>
        <v>20373.8</v>
      </c>
      <c r="Q28" s="15"/>
    </row>
    <row r="29" ht="22.5" customHeight="1">
      <c r="A29" s="26">
        <v>28.0</v>
      </c>
      <c r="B29" s="12" t="str">
        <f>Usuarios!B29 &amp; " " &amp; Usuarios!C29 &amp; " " &amp; Usuarios!D29
</f>
        <v>Nora  Ñanco </v>
      </c>
      <c r="C29" s="26">
        <f t="shared" si="7"/>
        <v>469</v>
      </c>
      <c r="D29" s="27">
        <v>494.0</v>
      </c>
      <c r="E29" s="26">
        <f t="shared" si="8"/>
        <v>25</v>
      </c>
      <c r="F29" s="26">
        <v>1182.6</v>
      </c>
      <c r="G29" s="26">
        <f t="shared" si="9"/>
        <v>29565</v>
      </c>
      <c r="H29" s="26">
        <v>5000.0</v>
      </c>
      <c r="I29" s="26">
        <f t="shared" si="10"/>
        <v>34565</v>
      </c>
      <c r="J29" s="16">
        <v>45846.0</v>
      </c>
      <c r="K29" s="12"/>
      <c r="L29" s="17" t="s">
        <v>143</v>
      </c>
      <c r="M29" s="26">
        <f t="shared" si="11"/>
        <v>0</v>
      </c>
      <c r="N29" s="12"/>
      <c r="O29" s="29"/>
      <c r="P29" s="15">
        <f t="shared" si="12"/>
        <v>34565</v>
      </c>
      <c r="Q29" s="15"/>
    </row>
    <row r="30" ht="22.5" customHeight="1">
      <c r="A30" s="26">
        <v>29.0</v>
      </c>
      <c r="B30" s="12" t="str">
        <f>Usuarios!B30 &amp; " " &amp; Usuarios!C30 &amp; " " &amp; Usuarios!D30
</f>
        <v>Miriam  Alvarado </v>
      </c>
      <c r="C30" s="26">
        <f t="shared" si="7"/>
        <v>593</v>
      </c>
      <c r="D30" s="27">
        <v>613.0</v>
      </c>
      <c r="E30" s="26">
        <f t="shared" si="8"/>
        <v>20</v>
      </c>
      <c r="F30" s="26">
        <v>1182.6</v>
      </c>
      <c r="G30" s="26">
        <f t="shared" si="9"/>
        <v>23652</v>
      </c>
      <c r="H30" s="26">
        <v>5000.0</v>
      </c>
      <c r="I30" s="26">
        <f t="shared" si="10"/>
        <v>28652</v>
      </c>
      <c r="J30" s="16">
        <v>45846.0</v>
      </c>
      <c r="K30" s="12"/>
      <c r="L30" s="17" t="s">
        <v>143</v>
      </c>
      <c r="M30" s="26">
        <f t="shared" si="11"/>
        <v>0</v>
      </c>
      <c r="N30" s="12"/>
      <c r="O30" s="29"/>
      <c r="P30" s="15">
        <f t="shared" si="12"/>
        <v>28652</v>
      </c>
      <c r="Q30" s="15"/>
    </row>
    <row r="31" ht="22.5" customHeight="1">
      <c r="A31" s="26">
        <v>30.0</v>
      </c>
      <c r="B31" s="12" t="str">
        <f>Usuarios!B31 &amp; " " &amp; Usuarios!C31 &amp; " " &amp; Usuarios!D31
</f>
        <v>Luz  Maldonado </v>
      </c>
      <c r="C31" s="26">
        <f t="shared" si="7"/>
        <v>5</v>
      </c>
      <c r="D31" s="27">
        <v>5.0</v>
      </c>
      <c r="E31" s="26">
        <f t="shared" si="8"/>
        <v>0</v>
      </c>
      <c r="F31" s="26">
        <v>1182.6</v>
      </c>
      <c r="G31" s="26">
        <f t="shared" si="9"/>
        <v>0</v>
      </c>
      <c r="H31" s="26">
        <v>5000.0</v>
      </c>
      <c r="I31" s="26">
        <f t="shared" si="10"/>
        <v>5000</v>
      </c>
      <c r="J31" s="16">
        <v>45846.0</v>
      </c>
      <c r="K31" s="12"/>
      <c r="L31" s="17" t="s">
        <v>143</v>
      </c>
      <c r="M31" s="26">
        <f t="shared" si="11"/>
        <v>0</v>
      </c>
      <c r="N31" s="12"/>
      <c r="O31" s="29"/>
      <c r="P31" s="15">
        <f t="shared" si="12"/>
        <v>5000</v>
      </c>
      <c r="Q31" s="15"/>
    </row>
    <row r="32" ht="22.5" customHeight="1">
      <c r="A32" s="26">
        <v>31.0</v>
      </c>
      <c r="B32" s="12" t="str">
        <f>Usuarios!B32 &amp; " " &amp; Usuarios!C32 &amp; " " &amp; Usuarios!D32
</f>
        <v>Patricia  Carcamo  Gonzales</v>
      </c>
      <c r="C32" s="26">
        <f t="shared" si="7"/>
        <v>182</v>
      </c>
      <c r="D32" s="27">
        <v>195.0</v>
      </c>
      <c r="E32" s="26">
        <f t="shared" si="8"/>
        <v>13</v>
      </c>
      <c r="F32" s="26">
        <v>1182.6</v>
      </c>
      <c r="G32" s="26">
        <f t="shared" si="9"/>
        <v>15373.8</v>
      </c>
      <c r="H32" s="26">
        <v>5000.0</v>
      </c>
      <c r="I32" s="26">
        <f t="shared" si="10"/>
        <v>20373.8</v>
      </c>
      <c r="J32" s="16">
        <v>45846.0</v>
      </c>
      <c r="K32" s="12"/>
      <c r="L32" s="17" t="s">
        <v>143</v>
      </c>
      <c r="M32" s="26">
        <f t="shared" si="11"/>
        <v>0</v>
      </c>
      <c r="N32" s="12"/>
      <c r="O32" s="29"/>
      <c r="P32" s="15">
        <f t="shared" si="12"/>
        <v>20373.8</v>
      </c>
      <c r="Q32" s="15"/>
    </row>
    <row r="33" ht="22.5" customHeight="1">
      <c r="A33" s="26">
        <v>32.0</v>
      </c>
      <c r="B33" s="12" t="str">
        <f>Usuarios!B33 &amp; " " &amp; Usuarios!C33 &amp; " " &amp; Usuarios!D33
</f>
        <v>Natividad  Soto </v>
      </c>
      <c r="C33" s="26">
        <f t="shared" si="7"/>
        <v>113</v>
      </c>
      <c r="D33" s="27">
        <v>129.0</v>
      </c>
      <c r="E33" s="26">
        <f t="shared" si="8"/>
        <v>16</v>
      </c>
      <c r="F33" s="26">
        <v>1182.6</v>
      </c>
      <c r="G33" s="26">
        <f t="shared" si="9"/>
        <v>18921.6</v>
      </c>
      <c r="H33" s="26">
        <v>5000.0</v>
      </c>
      <c r="I33" s="26">
        <f t="shared" si="10"/>
        <v>23921.6</v>
      </c>
      <c r="J33" s="16">
        <v>45846.0</v>
      </c>
      <c r="K33" s="12"/>
      <c r="L33" s="17" t="s">
        <v>143</v>
      </c>
      <c r="M33" s="26">
        <f t="shared" si="11"/>
        <v>0</v>
      </c>
      <c r="N33" s="12"/>
      <c r="O33" s="29"/>
      <c r="P33" s="15">
        <f t="shared" si="12"/>
        <v>23921.6</v>
      </c>
      <c r="Q33" s="15"/>
    </row>
    <row r="34" ht="22.5" customHeight="1">
      <c r="A34" s="26">
        <v>33.0</v>
      </c>
      <c r="B34" s="12" t="str">
        <f>Usuarios!B34 &amp; " " &amp; Usuarios!C34 &amp; " " &amp; Usuarios!D34
</f>
        <v>Maria Oliva  Soto  Almonacid</v>
      </c>
      <c r="C34" s="26">
        <f t="shared" si="7"/>
        <v>52</v>
      </c>
      <c r="D34" s="27">
        <v>54.0</v>
      </c>
      <c r="E34" s="26">
        <f t="shared" si="8"/>
        <v>2</v>
      </c>
      <c r="F34" s="26">
        <v>1182.6</v>
      </c>
      <c r="G34" s="26">
        <f t="shared" si="9"/>
        <v>2365.2</v>
      </c>
      <c r="H34" s="26">
        <v>5000.0</v>
      </c>
      <c r="I34" s="26">
        <f t="shared" si="10"/>
        <v>7365.2</v>
      </c>
      <c r="J34" s="16">
        <v>45846.0</v>
      </c>
      <c r="K34" s="12"/>
      <c r="L34" s="17" t="s">
        <v>143</v>
      </c>
      <c r="M34" s="26">
        <f t="shared" si="11"/>
        <v>0</v>
      </c>
      <c r="N34" s="12"/>
      <c r="O34" s="29"/>
      <c r="P34" s="15">
        <f t="shared" si="12"/>
        <v>7365.2</v>
      </c>
      <c r="Q34" s="15"/>
    </row>
    <row r="35" ht="22.5" customHeight="1">
      <c r="A35" s="26">
        <v>34.0</v>
      </c>
      <c r="B35" s="12" t="str">
        <f>Usuarios!B35 &amp; " " &amp; Usuarios!C35 &amp; " " &amp; Usuarios!D35
</f>
        <v>Vanesa  Aguilar </v>
      </c>
      <c r="C35" s="26">
        <f t="shared" si="7"/>
        <v>557</v>
      </c>
      <c r="D35" s="27">
        <v>572.0</v>
      </c>
      <c r="E35" s="26">
        <f t="shared" si="8"/>
        <v>15</v>
      </c>
      <c r="F35" s="26">
        <v>1182.6</v>
      </c>
      <c r="G35" s="26">
        <f t="shared" si="9"/>
        <v>17739</v>
      </c>
      <c r="H35" s="26">
        <v>5000.0</v>
      </c>
      <c r="I35" s="26">
        <f t="shared" si="10"/>
        <v>22739</v>
      </c>
      <c r="J35" s="16">
        <v>45846.0</v>
      </c>
      <c r="K35" s="12"/>
      <c r="L35" s="17" t="s">
        <v>143</v>
      </c>
      <c r="M35" s="26">
        <f t="shared" si="11"/>
        <v>0</v>
      </c>
      <c r="N35" s="12"/>
      <c r="O35" s="29"/>
      <c r="P35" s="15">
        <f t="shared" si="12"/>
        <v>22739</v>
      </c>
      <c r="Q35" s="15"/>
    </row>
    <row r="36" ht="22.5" customHeight="1">
      <c r="A36" s="26">
        <v>35.0</v>
      </c>
      <c r="B36" s="12" t="str">
        <f>Usuarios!B36 &amp; " " &amp; Usuarios!C36 &amp; " " &amp; Usuarios!D36
</f>
        <v>José  Paredes </v>
      </c>
      <c r="C36" s="26">
        <f t="shared" si="7"/>
        <v>0</v>
      </c>
      <c r="D36" s="27">
        <v>0.0</v>
      </c>
      <c r="E36" s="26">
        <f t="shared" si="8"/>
        <v>0</v>
      </c>
      <c r="F36" s="26">
        <v>1182.6</v>
      </c>
      <c r="G36" s="26">
        <f t="shared" si="9"/>
        <v>0</v>
      </c>
      <c r="H36" s="26">
        <v>5000.0</v>
      </c>
      <c r="I36" s="26">
        <f t="shared" si="10"/>
        <v>5000</v>
      </c>
      <c r="J36" s="16">
        <v>45846.0</v>
      </c>
      <c r="K36" s="12"/>
      <c r="L36" s="17" t="s">
        <v>143</v>
      </c>
      <c r="M36" s="26">
        <f t="shared" si="11"/>
        <v>0</v>
      </c>
      <c r="N36" s="12"/>
      <c r="O36" s="29"/>
      <c r="P36" s="15">
        <f t="shared" si="12"/>
        <v>5000</v>
      </c>
      <c r="Q36" s="15"/>
    </row>
    <row r="37" ht="22.5" customHeight="1">
      <c r="A37" s="26">
        <v>36.0</v>
      </c>
      <c r="B37" s="12" t="str">
        <f>Usuarios!B37 &amp; " " &amp; Usuarios!C37 &amp; " " &amp; Usuarios!D37
</f>
        <v>Danilo  Soto  Soto</v>
      </c>
      <c r="C37" s="26">
        <f t="shared" si="7"/>
        <v>0</v>
      </c>
      <c r="D37" s="27">
        <v>0.0</v>
      </c>
      <c r="E37" s="26">
        <f t="shared" si="8"/>
        <v>0</v>
      </c>
      <c r="F37" s="26">
        <v>1182.6</v>
      </c>
      <c r="G37" s="26">
        <f t="shared" si="9"/>
        <v>0</v>
      </c>
      <c r="H37" s="26">
        <v>5000.0</v>
      </c>
      <c r="I37" s="26">
        <f t="shared" si="10"/>
        <v>5000</v>
      </c>
      <c r="J37" s="16">
        <v>45846.0</v>
      </c>
      <c r="K37" s="12"/>
      <c r="L37" s="17" t="s">
        <v>143</v>
      </c>
      <c r="M37" s="26">
        <f t="shared" si="11"/>
        <v>0</v>
      </c>
      <c r="N37" s="12"/>
      <c r="O37" s="29"/>
      <c r="P37" s="15">
        <f t="shared" si="12"/>
        <v>5000</v>
      </c>
      <c r="Q37" s="15"/>
    </row>
    <row r="38" ht="22.5" customHeight="1">
      <c r="A38" s="26">
        <v>37.0</v>
      </c>
      <c r="B38" s="12" t="str">
        <f>Usuarios!B38 &amp; " " &amp; Usuarios!C38 &amp; " " &amp; Usuarios!D38
</f>
        <v>Patricio Alvarez Mancilla</v>
      </c>
      <c r="C38" s="26">
        <f t="shared" si="7"/>
        <v>0</v>
      </c>
      <c r="D38" s="27">
        <v>0.0</v>
      </c>
      <c r="E38" s="26">
        <f t="shared" si="8"/>
        <v>0</v>
      </c>
      <c r="F38" s="26">
        <v>1182.6</v>
      </c>
      <c r="G38" s="26">
        <f t="shared" si="9"/>
        <v>0</v>
      </c>
      <c r="H38" s="26">
        <v>5000.0</v>
      </c>
      <c r="I38" s="26">
        <f t="shared" si="10"/>
        <v>5000</v>
      </c>
      <c r="J38" s="16">
        <v>45846.0</v>
      </c>
      <c r="K38" s="12"/>
      <c r="L38" s="17" t="s">
        <v>143</v>
      </c>
      <c r="M38" s="26">
        <f t="shared" si="11"/>
        <v>0</v>
      </c>
      <c r="N38" s="12"/>
      <c r="O38" s="29"/>
      <c r="P38" s="15">
        <f t="shared" si="12"/>
        <v>5000</v>
      </c>
      <c r="Q38" s="15"/>
    </row>
    <row r="39" ht="22.5" customHeight="1">
      <c r="A39" s="26">
        <v>38.0</v>
      </c>
      <c r="B39" s="12" t="str">
        <f>Usuarios!B39 &amp; " " &amp; Usuarios!C39 &amp; " " &amp; Usuarios!D39
</f>
        <v>Norma  Sanchez </v>
      </c>
      <c r="C39" s="26">
        <f t="shared" si="7"/>
        <v>7</v>
      </c>
      <c r="D39" s="27">
        <v>9.0</v>
      </c>
      <c r="E39" s="26">
        <f t="shared" si="8"/>
        <v>2</v>
      </c>
      <c r="F39" s="26">
        <v>1182.6</v>
      </c>
      <c r="G39" s="26">
        <f t="shared" si="9"/>
        <v>2365.2</v>
      </c>
      <c r="H39" s="26">
        <v>5000.0</v>
      </c>
      <c r="I39" s="26">
        <f t="shared" si="10"/>
        <v>7365.2</v>
      </c>
      <c r="J39" s="16">
        <v>45846.0</v>
      </c>
      <c r="K39" s="12"/>
      <c r="L39" s="17" t="s">
        <v>143</v>
      </c>
      <c r="M39" s="26">
        <f t="shared" si="11"/>
        <v>0</v>
      </c>
      <c r="N39" s="12"/>
      <c r="O39" s="29"/>
      <c r="P39" s="15">
        <f t="shared" si="12"/>
        <v>7365.2</v>
      </c>
      <c r="Q39" s="15"/>
    </row>
    <row r="40" ht="22.5" customHeight="1">
      <c r="A40" s="26">
        <v>39.0</v>
      </c>
      <c r="B40" s="12" t="str">
        <f>Usuarios!B40 &amp; " " &amp; Usuarios!C40 &amp; " " &amp; Usuarios!D40
</f>
        <v>Gloria  Alvarez </v>
      </c>
      <c r="C40" s="26">
        <f t="shared" si="7"/>
        <v>10</v>
      </c>
      <c r="D40" s="27">
        <v>10.0</v>
      </c>
      <c r="E40" s="26">
        <f t="shared" si="8"/>
        <v>0</v>
      </c>
      <c r="F40" s="26">
        <v>1182.6</v>
      </c>
      <c r="G40" s="26">
        <f t="shared" si="9"/>
        <v>0</v>
      </c>
      <c r="H40" s="26">
        <v>5000.0</v>
      </c>
      <c r="I40" s="26">
        <f t="shared" si="10"/>
        <v>5000</v>
      </c>
      <c r="J40" s="16">
        <v>45846.0</v>
      </c>
      <c r="K40" s="12"/>
      <c r="L40" s="17" t="s">
        <v>143</v>
      </c>
      <c r="M40" s="26">
        <f t="shared" si="11"/>
        <v>0</v>
      </c>
      <c r="N40" s="12"/>
      <c r="O40" s="29"/>
      <c r="P40" s="15">
        <f t="shared" si="12"/>
        <v>5000</v>
      </c>
      <c r="Q40" s="15"/>
    </row>
    <row r="41" ht="22.5" customHeight="1">
      <c r="A41" s="26">
        <v>40.0</v>
      </c>
      <c r="B41" s="12" t="str">
        <f>Usuarios!B41 &amp; " " &amp; Usuarios!C41 &amp; " " &amp; Usuarios!D41
</f>
        <v>Gloria  Levil </v>
      </c>
      <c r="C41" s="26">
        <f t="shared" si="7"/>
        <v>99</v>
      </c>
      <c r="D41" s="27">
        <v>99.0</v>
      </c>
      <c r="E41" s="26">
        <f t="shared" si="8"/>
        <v>0</v>
      </c>
      <c r="F41" s="26">
        <v>1182.6</v>
      </c>
      <c r="G41" s="26">
        <f t="shared" si="9"/>
        <v>0</v>
      </c>
      <c r="H41" s="26">
        <v>5000.0</v>
      </c>
      <c r="I41" s="26">
        <f t="shared" si="10"/>
        <v>5000</v>
      </c>
      <c r="J41" s="16">
        <v>45846.0</v>
      </c>
      <c r="K41" s="12"/>
      <c r="L41" s="17" t="s">
        <v>143</v>
      </c>
      <c r="M41" s="26">
        <f t="shared" si="11"/>
        <v>0</v>
      </c>
      <c r="N41" s="12"/>
      <c r="O41" s="29"/>
      <c r="P41" s="15">
        <f t="shared" si="12"/>
        <v>5000</v>
      </c>
      <c r="Q41" s="15"/>
    </row>
    <row r="42" ht="22.5" customHeight="1">
      <c r="A42" s="26">
        <v>41.0</v>
      </c>
      <c r="B42" s="12" t="str">
        <f>Usuarios!B42 &amp; " " &amp; Usuarios!C42 &amp; " " &amp; Usuarios!D42
</f>
        <v>Astrid  Gomez </v>
      </c>
      <c r="C42" s="26">
        <f t="shared" si="7"/>
        <v>106</v>
      </c>
      <c r="D42" s="27">
        <v>111.0</v>
      </c>
      <c r="E42" s="26">
        <f t="shared" si="8"/>
        <v>5</v>
      </c>
      <c r="F42" s="26">
        <v>1182.6</v>
      </c>
      <c r="G42" s="26">
        <f t="shared" si="9"/>
        <v>5913</v>
      </c>
      <c r="H42" s="26">
        <v>5000.0</v>
      </c>
      <c r="I42" s="26">
        <f t="shared" si="10"/>
        <v>10913</v>
      </c>
      <c r="J42" s="16">
        <v>45846.0</v>
      </c>
      <c r="K42" s="12"/>
      <c r="L42" s="17" t="s">
        <v>143</v>
      </c>
      <c r="M42" s="26">
        <f t="shared" si="11"/>
        <v>0</v>
      </c>
      <c r="N42" s="12"/>
      <c r="O42" s="29"/>
      <c r="P42" s="15">
        <f t="shared" si="12"/>
        <v>10913</v>
      </c>
      <c r="Q42" s="15"/>
    </row>
    <row r="43" ht="22.5" customHeight="1">
      <c r="A43" s="26">
        <v>42.0</v>
      </c>
      <c r="B43" s="12" t="str">
        <f>Usuarios!B43 &amp; " " &amp; Usuarios!C43 &amp; " " &amp; Usuarios!D43
</f>
        <v>Leo  Soto </v>
      </c>
      <c r="C43" s="26">
        <f t="shared" si="7"/>
        <v>10</v>
      </c>
      <c r="D43" s="27">
        <v>10.0</v>
      </c>
      <c r="E43" s="26">
        <f t="shared" si="8"/>
        <v>0</v>
      </c>
      <c r="F43" s="26">
        <v>1182.6</v>
      </c>
      <c r="G43" s="26">
        <f t="shared" si="9"/>
        <v>0</v>
      </c>
      <c r="H43" s="26">
        <v>5000.0</v>
      </c>
      <c r="I43" s="26">
        <f t="shared" si="10"/>
        <v>5000</v>
      </c>
      <c r="J43" s="16">
        <v>45846.0</v>
      </c>
      <c r="K43" s="12"/>
      <c r="L43" s="17" t="s">
        <v>143</v>
      </c>
      <c r="M43" s="26">
        <f t="shared" si="11"/>
        <v>0</v>
      </c>
      <c r="N43" s="12"/>
      <c r="O43" s="29"/>
      <c r="P43" s="15">
        <f t="shared" si="12"/>
        <v>5000</v>
      </c>
      <c r="Q43" s="15"/>
    </row>
    <row r="44" ht="22.5" customHeight="1">
      <c r="A44" s="26">
        <v>43.0</v>
      </c>
      <c r="B44" s="12" t="str">
        <f>Usuarios!B44 &amp; " " &amp; Usuarios!C44 &amp; " " &amp; Usuarios!D44
</f>
        <v>Ramon  Maldonado </v>
      </c>
      <c r="C44" s="26">
        <f t="shared" si="7"/>
        <v>0</v>
      </c>
      <c r="D44" s="27">
        <v>0.0</v>
      </c>
      <c r="E44" s="26">
        <f t="shared" si="8"/>
        <v>0</v>
      </c>
      <c r="F44" s="26">
        <v>1182.6</v>
      </c>
      <c r="G44" s="26">
        <f t="shared" si="9"/>
        <v>0</v>
      </c>
      <c r="H44" s="26">
        <v>5000.0</v>
      </c>
      <c r="I44" s="26">
        <f t="shared" si="10"/>
        <v>5000</v>
      </c>
      <c r="J44" s="16">
        <v>45846.0</v>
      </c>
      <c r="K44" s="12"/>
      <c r="L44" s="17" t="s">
        <v>143</v>
      </c>
      <c r="M44" s="26">
        <f t="shared" si="11"/>
        <v>0</v>
      </c>
      <c r="N44" s="12"/>
      <c r="O44" s="29" t="s">
        <v>147</v>
      </c>
      <c r="P44" s="15">
        <f t="shared" si="12"/>
        <v>5000</v>
      </c>
      <c r="Q44" s="15"/>
    </row>
    <row r="45" ht="22.5" customHeight="1">
      <c r="A45" s="26">
        <v>44.0</v>
      </c>
      <c r="B45" s="12" t="str">
        <f>Usuarios!B45 &amp; " " &amp; Usuarios!C45 &amp; " " &amp; Usuarios!D45
</f>
        <v>María Sonia  Quintui </v>
      </c>
      <c r="C45" s="26">
        <f t="shared" si="7"/>
        <v>11</v>
      </c>
      <c r="D45" s="27">
        <v>14.0</v>
      </c>
      <c r="E45" s="26">
        <f t="shared" si="8"/>
        <v>3</v>
      </c>
      <c r="F45" s="26">
        <v>1182.6</v>
      </c>
      <c r="G45" s="26">
        <f t="shared" si="9"/>
        <v>3547.8</v>
      </c>
      <c r="H45" s="26">
        <v>5000.0</v>
      </c>
      <c r="I45" s="26">
        <f t="shared" si="10"/>
        <v>8547.8</v>
      </c>
      <c r="J45" s="16">
        <v>45846.0</v>
      </c>
      <c r="K45" s="12"/>
      <c r="L45" s="17" t="s">
        <v>143</v>
      </c>
      <c r="M45" s="26">
        <f t="shared" si="11"/>
        <v>0</v>
      </c>
      <c r="N45" s="12"/>
      <c r="O45" s="29"/>
      <c r="P45" s="15">
        <f t="shared" si="12"/>
        <v>8547.8</v>
      </c>
      <c r="Q45" s="15"/>
    </row>
    <row r="46" ht="22.5" customHeight="1">
      <c r="A46" s="26">
        <v>45.0</v>
      </c>
      <c r="B46" s="12" t="str">
        <f>Usuarios!B46 &amp; " " &amp; Usuarios!C46 &amp; " " &amp; Usuarios!D46
</f>
        <v>Monica  Cuello </v>
      </c>
      <c r="C46" s="26">
        <f t="shared" si="7"/>
        <v>0</v>
      </c>
      <c r="D46" s="27">
        <v>0.0</v>
      </c>
      <c r="E46" s="26">
        <f t="shared" si="8"/>
        <v>0</v>
      </c>
      <c r="F46" s="26">
        <v>1182.6</v>
      </c>
      <c r="G46" s="26">
        <f t="shared" si="9"/>
        <v>0</v>
      </c>
      <c r="H46" s="26">
        <v>5000.0</v>
      </c>
      <c r="I46" s="26">
        <f t="shared" si="10"/>
        <v>5000</v>
      </c>
      <c r="J46" s="16">
        <v>45846.0</v>
      </c>
      <c r="K46" s="12"/>
      <c r="L46" s="17" t="s">
        <v>143</v>
      </c>
      <c r="M46" s="26">
        <f t="shared" si="11"/>
        <v>0</v>
      </c>
      <c r="N46" s="12"/>
      <c r="O46" s="29"/>
      <c r="P46" s="15">
        <f t="shared" si="12"/>
        <v>5000</v>
      </c>
      <c r="Q46" s="15"/>
    </row>
    <row r="47" ht="22.5" customHeight="1">
      <c r="A47" s="26">
        <v>46.0</v>
      </c>
      <c r="B47" s="12" t="str">
        <f>Usuarios!B47 &amp; " " &amp; Usuarios!C47 &amp; " " &amp; Usuarios!D47
</f>
        <v>Mauricio  Muñoz taller </v>
      </c>
      <c r="C47" s="26">
        <f t="shared" si="7"/>
        <v>0</v>
      </c>
      <c r="D47" s="27">
        <v>0.0</v>
      </c>
      <c r="E47" s="26">
        <f t="shared" si="8"/>
        <v>0</v>
      </c>
      <c r="F47" s="26">
        <v>1182.6</v>
      </c>
      <c r="G47" s="26">
        <f t="shared" si="9"/>
        <v>0</v>
      </c>
      <c r="H47" s="26">
        <v>5000.0</v>
      </c>
      <c r="I47" s="26">
        <f t="shared" si="10"/>
        <v>5000</v>
      </c>
      <c r="J47" s="16">
        <v>45846.0</v>
      </c>
      <c r="K47" s="12"/>
      <c r="L47" s="17" t="s">
        <v>143</v>
      </c>
      <c r="M47" s="26">
        <f t="shared" si="11"/>
        <v>0</v>
      </c>
      <c r="N47" s="12"/>
      <c r="O47" s="29"/>
      <c r="P47" s="15">
        <f t="shared" si="12"/>
        <v>5000</v>
      </c>
      <c r="Q47" s="15"/>
    </row>
    <row r="48" ht="22.5" customHeight="1">
      <c r="A48" s="26">
        <v>47.0</v>
      </c>
      <c r="B48" s="12" t="str">
        <f>Usuarios!B48 &amp; " " &amp; Usuarios!C48 &amp; " " &amp; Usuarios!D48
</f>
        <v>Pablo  Contreras </v>
      </c>
      <c r="C48" s="26">
        <f t="shared" si="7"/>
        <v>0</v>
      </c>
      <c r="D48" s="27">
        <v>0.0</v>
      </c>
      <c r="E48" s="26">
        <f t="shared" si="8"/>
        <v>0</v>
      </c>
      <c r="F48" s="26">
        <v>1182.6</v>
      </c>
      <c r="G48" s="26">
        <f t="shared" si="9"/>
        <v>0</v>
      </c>
      <c r="H48" s="26">
        <v>5000.0</v>
      </c>
      <c r="I48" s="26">
        <f t="shared" si="10"/>
        <v>5000</v>
      </c>
      <c r="J48" s="16">
        <v>45846.0</v>
      </c>
      <c r="K48" s="12"/>
      <c r="L48" s="17" t="s">
        <v>144</v>
      </c>
      <c r="M48" s="26">
        <f t="shared" si="11"/>
        <v>0</v>
      </c>
      <c r="N48" s="12"/>
      <c r="O48" s="29"/>
      <c r="P48" s="15">
        <f t="shared" si="12"/>
        <v>0</v>
      </c>
      <c r="Q48" s="15"/>
    </row>
    <row r="49" ht="22.5" customHeight="1">
      <c r="A49" s="26">
        <v>48.0</v>
      </c>
      <c r="B49" s="12" t="str">
        <f>Usuarios!B49 &amp; " " &amp; Usuarios!C49 &amp; " " &amp; Usuarios!D49
</f>
        <v>Luis Vicente   Mondaca  Muñoz</v>
      </c>
      <c r="C49" s="26">
        <f t="shared" si="7"/>
        <v>319</v>
      </c>
      <c r="D49" s="27">
        <v>339.0</v>
      </c>
      <c r="E49" s="26">
        <f t="shared" si="8"/>
        <v>20</v>
      </c>
      <c r="F49" s="26">
        <v>1182.6</v>
      </c>
      <c r="G49" s="26">
        <f t="shared" si="9"/>
        <v>23652</v>
      </c>
      <c r="H49" s="26">
        <v>5000.0</v>
      </c>
      <c r="I49" s="26">
        <f t="shared" si="10"/>
        <v>28652</v>
      </c>
      <c r="J49" s="16">
        <v>45846.0</v>
      </c>
      <c r="K49" s="12"/>
      <c r="L49" s="17" t="s">
        <v>146</v>
      </c>
      <c r="M49" s="26">
        <f t="shared" si="11"/>
        <v>28652</v>
      </c>
      <c r="N49" s="16">
        <v>45939.0</v>
      </c>
      <c r="O49" s="17" t="s">
        <v>148</v>
      </c>
      <c r="P49" s="15">
        <f t="shared" si="12"/>
        <v>0</v>
      </c>
      <c r="Q49" s="15"/>
    </row>
    <row r="50" ht="22.5" customHeight="1">
      <c r="A50" s="26">
        <v>49.0</v>
      </c>
      <c r="B50" s="12" t="str">
        <f>Usuarios!B50 &amp; " " &amp; Usuarios!C50 &amp; " " &amp; Usuarios!D50
</f>
        <v>Rosa  Nuñez </v>
      </c>
      <c r="C50" s="26">
        <f t="shared" si="7"/>
        <v>86</v>
      </c>
      <c r="D50" s="27">
        <v>89.0</v>
      </c>
      <c r="E50" s="26">
        <f t="shared" si="8"/>
        <v>3</v>
      </c>
      <c r="F50" s="26">
        <v>1182.6</v>
      </c>
      <c r="G50" s="26">
        <f t="shared" si="9"/>
        <v>3547.8</v>
      </c>
      <c r="H50" s="26">
        <v>5000.0</v>
      </c>
      <c r="I50" s="26">
        <f t="shared" si="10"/>
        <v>8547.8</v>
      </c>
      <c r="J50" s="16">
        <v>45846.0</v>
      </c>
      <c r="K50" s="12"/>
      <c r="L50" s="17" t="s">
        <v>143</v>
      </c>
      <c r="M50" s="26">
        <f t="shared" si="11"/>
        <v>0</v>
      </c>
      <c r="N50" s="12"/>
      <c r="O50" s="29"/>
      <c r="P50" s="15">
        <f t="shared" si="12"/>
        <v>8547.8</v>
      </c>
      <c r="Q50" s="15"/>
    </row>
    <row r="51" ht="22.5" customHeight="1">
      <c r="A51" s="26">
        <v>50.0</v>
      </c>
      <c r="B51" s="12" t="str">
        <f>Usuarios!B51 &amp; " " &amp; Usuarios!C51 &amp; " " &amp; Usuarios!D51
</f>
        <v>Gloria Isamar  Velasquez  Almonacid</v>
      </c>
      <c r="C51" s="26">
        <f t="shared" si="7"/>
        <v>50</v>
      </c>
      <c r="D51" s="27">
        <v>57.0</v>
      </c>
      <c r="E51" s="26">
        <f t="shared" si="8"/>
        <v>7</v>
      </c>
      <c r="F51" s="26">
        <v>1182.6</v>
      </c>
      <c r="G51" s="26">
        <f t="shared" si="9"/>
        <v>8278.2</v>
      </c>
      <c r="H51" s="26">
        <v>5000.0</v>
      </c>
      <c r="I51" s="26">
        <f t="shared" si="10"/>
        <v>13278.2</v>
      </c>
      <c r="J51" s="16">
        <v>45846.0</v>
      </c>
      <c r="K51" s="12"/>
      <c r="L51" s="17" t="s">
        <v>143</v>
      </c>
      <c r="M51" s="26">
        <f t="shared" si="11"/>
        <v>0</v>
      </c>
      <c r="N51" s="12"/>
      <c r="O51" s="29"/>
      <c r="P51" s="15">
        <f t="shared" si="12"/>
        <v>13278.2</v>
      </c>
      <c r="Q51" s="15"/>
    </row>
    <row r="52" ht="22.5" customHeight="1">
      <c r="A52" s="26">
        <v>51.0</v>
      </c>
      <c r="B52" s="12" t="str">
        <f>Usuarios!B52 &amp; " " &amp; Usuarios!C52 &amp; " " &amp; Usuarios!D52
</f>
        <v>Maria  Manquian </v>
      </c>
      <c r="C52" s="26">
        <f t="shared" si="7"/>
        <v>0</v>
      </c>
      <c r="D52" s="27">
        <v>0.0</v>
      </c>
      <c r="E52" s="26">
        <f t="shared" si="8"/>
        <v>0</v>
      </c>
      <c r="F52" s="26">
        <v>1182.6</v>
      </c>
      <c r="G52" s="26">
        <f t="shared" si="9"/>
        <v>0</v>
      </c>
      <c r="H52" s="26">
        <v>5000.0</v>
      </c>
      <c r="I52" s="26">
        <f t="shared" si="10"/>
        <v>5000</v>
      </c>
      <c r="J52" s="16">
        <v>45846.0</v>
      </c>
      <c r="K52" s="12"/>
      <c r="L52" s="17" t="s">
        <v>143</v>
      </c>
      <c r="M52" s="26">
        <f t="shared" si="11"/>
        <v>0</v>
      </c>
      <c r="N52" s="12"/>
      <c r="O52" s="29" t="s">
        <v>147</v>
      </c>
      <c r="P52" s="15">
        <f t="shared" si="12"/>
        <v>5000</v>
      </c>
      <c r="Q52" s="15"/>
    </row>
    <row r="53" ht="22.5" customHeight="1">
      <c r="A53" s="26">
        <v>52.0</v>
      </c>
      <c r="B53" s="12" t="str">
        <f>Usuarios!B53 &amp; " " &amp; Usuarios!C53 &amp; " " &amp; Usuarios!D53
</f>
        <v>Esteban  Oyarzo  Levil</v>
      </c>
      <c r="C53" s="26">
        <f t="shared" si="7"/>
        <v>0</v>
      </c>
      <c r="D53" s="27">
        <v>0.0</v>
      </c>
      <c r="E53" s="26">
        <f t="shared" si="8"/>
        <v>0</v>
      </c>
      <c r="F53" s="26">
        <v>1182.6</v>
      </c>
      <c r="G53" s="26">
        <f t="shared" si="9"/>
        <v>0</v>
      </c>
      <c r="H53" s="26">
        <v>5000.0</v>
      </c>
      <c r="I53" s="26">
        <f t="shared" si="10"/>
        <v>5000</v>
      </c>
      <c r="J53" s="16">
        <v>45846.0</v>
      </c>
      <c r="K53" s="12"/>
      <c r="L53" s="17" t="s">
        <v>143</v>
      </c>
      <c r="M53" s="26">
        <f t="shared" si="11"/>
        <v>0</v>
      </c>
      <c r="N53" s="12"/>
      <c r="O53" s="29"/>
      <c r="P53" s="15">
        <f t="shared" si="12"/>
        <v>5000</v>
      </c>
      <c r="Q53" s="15"/>
    </row>
    <row r="54" ht="22.5" customHeight="1">
      <c r="A54" s="26">
        <v>53.0</v>
      </c>
      <c r="B54" s="12" t="str">
        <f>Usuarios!B54 &amp; " " &amp; Usuarios!C54 &amp; " " &amp; Usuarios!D54
</f>
        <v>Nicolas Andres  Cardenas Bustamante</v>
      </c>
      <c r="C54" s="26">
        <f t="shared" si="7"/>
        <v>0</v>
      </c>
      <c r="D54" s="27">
        <v>0.0</v>
      </c>
      <c r="E54" s="26">
        <f t="shared" si="8"/>
        <v>0</v>
      </c>
      <c r="F54" s="26">
        <v>1182.6</v>
      </c>
      <c r="G54" s="26">
        <f t="shared" si="9"/>
        <v>0</v>
      </c>
      <c r="H54" s="26">
        <v>5000.0</v>
      </c>
      <c r="I54" s="26">
        <f t="shared" si="10"/>
        <v>5000</v>
      </c>
      <c r="J54" s="16">
        <v>45846.0</v>
      </c>
      <c r="K54" s="12"/>
      <c r="L54" s="17" t="s">
        <v>143</v>
      </c>
      <c r="M54" s="26">
        <f t="shared" si="11"/>
        <v>0</v>
      </c>
      <c r="N54" s="12"/>
      <c r="O54" s="29"/>
      <c r="P54" s="15">
        <f t="shared" si="12"/>
        <v>5000</v>
      </c>
      <c r="Q54" s="15"/>
    </row>
    <row r="55" ht="22.5" customHeight="1">
      <c r="A55" s="26">
        <v>54.0</v>
      </c>
      <c r="B55" s="12" t="str">
        <f>Usuarios!B55 &amp; " " &amp; Usuarios!C55 &amp; " " &amp; Usuarios!D55
</f>
        <v>Rosa  Mancilla </v>
      </c>
      <c r="C55" s="26">
        <f t="shared" si="7"/>
        <v>106</v>
      </c>
      <c r="D55" s="27">
        <v>106.0</v>
      </c>
      <c r="E55" s="26">
        <f t="shared" si="8"/>
        <v>0</v>
      </c>
      <c r="F55" s="26">
        <v>1182.6</v>
      </c>
      <c r="G55" s="26">
        <f t="shared" si="9"/>
        <v>0</v>
      </c>
      <c r="H55" s="26">
        <v>5000.0</v>
      </c>
      <c r="I55" s="26">
        <f t="shared" si="10"/>
        <v>5000</v>
      </c>
      <c r="J55" s="16">
        <v>45846.0</v>
      </c>
      <c r="K55" s="12"/>
      <c r="L55" s="17" t="s">
        <v>143</v>
      </c>
      <c r="M55" s="26">
        <f t="shared" si="11"/>
        <v>0</v>
      </c>
      <c r="N55" s="12"/>
      <c r="O55" s="29"/>
      <c r="P55" s="15">
        <f t="shared" si="12"/>
        <v>5000</v>
      </c>
      <c r="Q55" s="15"/>
    </row>
    <row r="56" ht="22.5" customHeight="1">
      <c r="A56" s="26">
        <v>55.0</v>
      </c>
      <c r="B56" s="12" t="str">
        <f>Usuarios!B56 &amp; " " &amp; Usuarios!C56 &amp; " " &amp; Usuarios!D56
</f>
        <v>Guido  Quintuy - Sitio vacío </v>
      </c>
      <c r="C56" s="26">
        <f t="shared" si="7"/>
        <v>0</v>
      </c>
      <c r="D56" s="27">
        <v>0.0</v>
      </c>
      <c r="E56" s="26">
        <f t="shared" si="8"/>
        <v>0</v>
      </c>
      <c r="F56" s="26">
        <v>1182.6</v>
      </c>
      <c r="G56" s="26">
        <f t="shared" si="9"/>
        <v>0</v>
      </c>
      <c r="H56" s="26">
        <v>5000.0</v>
      </c>
      <c r="I56" s="26">
        <f t="shared" si="10"/>
        <v>5000</v>
      </c>
      <c r="J56" s="16">
        <v>45846.0</v>
      </c>
      <c r="K56" s="12"/>
      <c r="L56" s="17" t="s">
        <v>144</v>
      </c>
      <c r="M56" s="26">
        <f t="shared" si="11"/>
        <v>0</v>
      </c>
      <c r="N56" s="12"/>
      <c r="O56" s="29"/>
      <c r="P56" s="15">
        <f t="shared" si="12"/>
        <v>0</v>
      </c>
      <c r="Q56" s="15"/>
    </row>
    <row r="57" ht="22.5" customHeight="1">
      <c r="A57" s="26">
        <v>56.0</v>
      </c>
      <c r="B57" s="12" t="str">
        <f>Usuarios!B57 &amp; " " &amp; Usuarios!C57 &amp; " " &amp; Usuarios!D57
</f>
        <v>Mario  Velasquez </v>
      </c>
      <c r="C57" s="26">
        <f t="shared" si="7"/>
        <v>36</v>
      </c>
      <c r="D57" s="27">
        <v>47.0</v>
      </c>
      <c r="E57" s="26">
        <f t="shared" si="8"/>
        <v>11</v>
      </c>
      <c r="F57" s="26">
        <v>1182.6</v>
      </c>
      <c r="G57" s="26">
        <f t="shared" si="9"/>
        <v>13008.6</v>
      </c>
      <c r="H57" s="26">
        <v>5000.0</v>
      </c>
      <c r="I57" s="26">
        <f t="shared" si="10"/>
        <v>18008.6</v>
      </c>
      <c r="J57" s="16">
        <v>45846.0</v>
      </c>
      <c r="K57" s="12"/>
      <c r="L57" s="17" t="s">
        <v>143</v>
      </c>
      <c r="M57" s="26">
        <f t="shared" si="11"/>
        <v>0</v>
      </c>
      <c r="N57" s="12"/>
      <c r="O57" s="29"/>
      <c r="P57" s="15">
        <f t="shared" si="12"/>
        <v>18008.6</v>
      </c>
      <c r="Q57" s="15"/>
    </row>
    <row r="58" ht="22.5" customHeight="1">
      <c r="A58" s="26">
        <v>57.0</v>
      </c>
      <c r="B58" s="12" t="str">
        <f>Usuarios!B58 &amp; " " &amp; Usuarios!C58 &amp; " " &amp; Usuarios!D58
</f>
        <v>Lishby  Fuentes  Diaz</v>
      </c>
      <c r="C58" s="26">
        <f t="shared" si="7"/>
        <v>0</v>
      </c>
      <c r="D58" s="27">
        <v>0.0</v>
      </c>
      <c r="E58" s="26">
        <f t="shared" si="8"/>
        <v>0</v>
      </c>
      <c r="F58" s="26">
        <v>1182.6</v>
      </c>
      <c r="G58" s="26">
        <f t="shared" si="9"/>
        <v>0</v>
      </c>
      <c r="H58" s="26">
        <v>5000.0</v>
      </c>
      <c r="I58" s="26">
        <f t="shared" si="10"/>
        <v>5000</v>
      </c>
      <c r="J58" s="16">
        <v>45846.0</v>
      </c>
      <c r="K58" s="12"/>
      <c r="L58" s="17" t="s">
        <v>143</v>
      </c>
      <c r="M58" s="26">
        <f t="shared" si="11"/>
        <v>0</v>
      </c>
      <c r="N58" s="12"/>
      <c r="O58" s="29"/>
      <c r="P58" s="15">
        <f t="shared" si="12"/>
        <v>5000</v>
      </c>
      <c r="Q58" s="15"/>
    </row>
  </sheetData>
  <conditionalFormatting sqref="L2:L21 L23:L58">
    <cfRule type="containsText" dxfId="6" priority="1" operator="containsText" text="PENDIENTE">
      <formula>NOT(ISERROR(SEARCH(("PENDIENTE"),(L2))))</formula>
    </cfRule>
  </conditionalFormatting>
  <conditionalFormatting sqref="L2:L21 L23:L58">
    <cfRule type="containsText" dxfId="7" priority="2" operator="containsText" text="PAGADO">
      <formula>NOT(ISERROR(SEARCH(("PAGADO"),(L2))))</formula>
    </cfRule>
  </conditionalFormatting>
  <conditionalFormatting sqref="A2:Q58">
    <cfRule type="containsText" dxfId="8" priority="3" operator="containsText" text="NO APLICA">
      <formula>NOT(ISERROR(SEARCH(("NO APLICA"),(A2))))</formula>
    </cfRule>
  </conditionalFormatting>
  <conditionalFormatting sqref="A2:P58 Q22">
    <cfRule type="containsText" dxfId="8" priority="4" operator="containsText" text="NO APLICA">
      <formula>NOT(ISERROR(SEARCH(("NO APLICA"),(A2))))</formula>
    </cfRule>
  </conditionalFormatting>
  <dataValidations>
    <dataValidation type="custom" allowBlank="1" showDropDown="1" sqref="P2:P58">
      <formula1>AND(ISNUMBER(P2),(NOT(OR(NOT(ISERROR(DATEVALUE(P2))), AND(ISNUMBER(P2), LEFT(CELL("format", P2))="D")))))</formula1>
    </dataValidation>
    <dataValidation type="list" allowBlank="1" sqref="O2:O58">
      <formula1>"EFECTIVO,TRANSFERENCIA,CHEQUE,TARJETA"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5.0"/>
    <col customWidth="1" min="3" max="3" width="29.29"/>
    <col customWidth="1" min="4" max="4" width="23.0"/>
    <col customWidth="1" min="5" max="5" width="20.71"/>
    <col customWidth="1" min="6" max="6" width="18.57"/>
    <col customWidth="1" min="7" max="7" width="26.57"/>
    <col customWidth="1" min="8" max="8" width="19.14"/>
    <col customWidth="1" min="9" max="9" width="27.71"/>
    <col customWidth="1" min="10" max="10" width="25.71"/>
    <col customWidth="1" min="11" max="11" width="29.29"/>
    <col customWidth="1" min="12" max="12" width="21.14"/>
    <col customWidth="1" min="13" max="13" width="23.29"/>
    <col customWidth="1" min="14" max="14" width="12.86"/>
    <col customWidth="1" min="15" max="15" width="14.71"/>
    <col customWidth="1" min="16" max="16" width="25.86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145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11">
        <v>41.0</v>
      </c>
      <c r="B2" s="12" t="str">
        <f>Usuarios!B42 &amp; " " &amp; Usuarios!C42 &amp; " " &amp; Usuarios!D42
</f>
        <v>Astrid  Gomez </v>
      </c>
      <c r="C2" s="11">
        <f t="shared" ref="C2:C57" si="1">INDEX(INDIRECT("'" &amp; TEXT(EDATE(J2,-2),"mm-yyyy") &amp; "'!D:D"),
   MATCH(A2,INDIRECT("'" &amp; TEXT(EDATE(J2,-2),"mm-yyyy") &amp; "'!A:A"),0))
</f>
        <v>111</v>
      </c>
      <c r="D2" s="13">
        <v>115.0</v>
      </c>
      <c r="E2" s="11">
        <f t="shared" ref="E2:E16" si="2">D2-C2</f>
        <v>4</v>
      </c>
      <c r="F2" s="14">
        <v>1182.6</v>
      </c>
      <c r="G2" s="15">
        <f t="shared" ref="G2:G16" si="3">E2*F2</f>
        <v>4730.4</v>
      </c>
      <c r="H2" s="15">
        <v>5000.0</v>
      </c>
      <c r="I2" s="15">
        <f t="shared" ref="I2:I16" si="4">E2*F2+H2</f>
        <v>9730.4</v>
      </c>
      <c r="J2" s="16">
        <v>45877.0</v>
      </c>
      <c r="K2" s="12"/>
      <c r="L2" s="17" t="s">
        <v>143</v>
      </c>
      <c r="M2" s="15">
        <f t="shared" ref="M2:M16" si="5">IF(L2="Pagado", I2, 0)</f>
        <v>0</v>
      </c>
      <c r="N2" s="12"/>
      <c r="O2" s="12"/>
      <c r="P2" s="15">
        <f t="shared" ref="P2:P16" si="6">IF(L2="NO APLICA",0, (I2-M2))</f>
        <v>9730.4</v>
      </c>
      <c r="Q2" s="15"/>
    </row>
    <row r="3" ht="22.5" customHeight="1">
      <c r="A3" s="11">
        <v>16.0</v>
      </c>
      <c r="B3" s="12" t="str">
        <f>Usuarios!B17 &amp; " " &amp; Usuarios!C17 &amp; " " &amp; Usuarios!D17
</f>
        <v>Carlos  Agüero </v>
      </c>
      <c r="C3" s="11">
        <f t="shared" si="1"/>
        <v>205</v>
      </c>
      <c r="D3" s="13">
        <v>224.0</v>
      </c>
      <c r="E3" s="11">
        <f t="shared" si="2"/>
        <v>19</v>
      </c>
      <c r="F3" s="14">
        <v>1182.6</v>
      </c>
      <c r="G3" s="15">
        <f t="shared" si="3"/>
        <v>22469.4</v>
      </c>
      <c r="H3" s="15">
        <v>5000.0</v>
      </c>
      <c r="I3" s="15">
        <f t="shared" si="4"/>
        <v>27469.4</v>
      </c>
      <c r="J3" s="16">
        <v>45877.0</v>
      </c>
      <c r="K3" s="12"/>
      <c r="L3" s="17" t="s">
        <v>146</v>
      </c>
      <c r="M3" s="15">
        <f t="shared" si="5"/>
        <v>27469.4</v>
      </c>
      <c r="N3" s="12"/>
      <c r="O3" s="12"/>
      <c r="P3" s="15">
        <f t="shared" si="6"/>
        <v>0</v>
      </c>
      <c r="Q3" s="15"/>
    </row>
    <row r="4" ht="22.5" customHeight="1">
      <c r="A4" s="11">
        <v>13.0</v>
      </c>
      <c r="B4" s="12" t="str">
        <f>Usuarios!B14 &amp; " " &amp; Usuarios!C14 &amp; " " &amp; Usuarios!D14
</f>
        <v>Carlos  Gamin </v>
      </c>
      <c r="C4" s="11">
        <f t="shared" si="1"/>
        <v>210</v>
      </c>
      <c r="D4" s="13">
        <v>221.0</v>
      </c>
      <c r="E4" s="11">
        <f t="shared" si="2"/>
        <v>11</v>
      </c>
      <c r="F4" s="14">
        <v>1182.6</v>
      </c>
      <c r="G4" s="15">
        <f t="shared" si="3"/>
        <v>13008.6</v>
      </c>
      <c r="H4" s="15">
        <v>5000.0</v>
      </c>
      <c r="I4" s="15">
        <f t="shared" si="4"/>
        <v>18008.6</v>
      </c>
      <c r="J4" s="16">
        <v>45877.0</v>
      </c>
      <c r="K4" s="12"/>
      <c r="L4" s="17" t="s">
        <v>143</v>
      </c>
      <c r="M4" s="15">
        <f t="shared" si="5"/>
        <v>0</v>
      </c>
      <c r="N4" s="12"/>
      <c r="O4" s="12"/>
      <c r="P4" s="15">
        <f t="shared" si="6"/>
        <v>18008.6</v>
      </c>
      <c r="Q4" s="15"/>
    </row>
    <row r="5" ht="22.5" customHeight="1">
      <c r="A5" s="11">
        <v>23.0</v>
      </c>
      <c r="B5" s="12" t="str">
        <f>Usuarios!B24 &amp; " " &amp; Usuarios!C24 &amp; " " &amp; Usuarios!D24
</f>
        <v>Carlos  Nahuelpan </v>
      </c>
      <c r="C5" s="11">
        <f t="shared" si="1"/>
        <v>122</v>
      </c>
      <c r="D5" s="13">
        <v>127.0</v>
      </c>
      <c r="E5" s="11">
        <f t="shared" si="2"/>
        <v>5</v>
      </c>
      <c r="F5" s="14">
        <v>1182.6</v>
      </c>
      <c r="G5" s="15">
        <f t="shared" si="3"/>
        <v>5913</v>
      </c>
      <c r="H5" s="15">
        <v>5000.0</v>
      </c>
      <c r="I5" s="15">
        <f t="shared" si="4"/>
        <v>10913</v>
      </c>
      <c r="J5" s="16">
        <v>45877.0</v>
      </c>
      <c r="K5" s="12"/>
      <c r="L5" s="17" t="s">
        <v>146</v>
      </c>
      <c r="M5" s="15">
        <f t="shared" si="5"/>
        <v>10913</v>
      </c>
      <c r="N5" s="12"/>
      <c r="O5" s="12"/>
      <c r="P5" s="15">
        <f t="shared" si="6"/>
        <v>0</v>
      </c>
      <c r="Q5" s="15"/>
    </row>
    <row r="6" ht="22.5" customHeight="1">
      <c r="A6" s="11">
        <v>4.0</v>
      </c>
      <c r="B6" s="12" t="str">
        <f>Usuarios!B5 &amp; " " &amp; Usuarios!C5 &amp; " " &amp; Usuarios!D5
</f>
        <v>Cristian  Oyarzo </v>
      </c>
      <c r="C6" s="11">
        <f t="shared" si="1"/>
        <v>581</v>
      </c>
      <c r="D6" s="13">
        <v>615.0</v>
      </c>
      <c r="E6" s="11">
        <f t="shared" si="2"/>
        <v>34</v>
      </c>
      <c r="F6" s="14">
        <v>1182.6</v>
      </c>
      <c r="G6" s="15">
        <f t="shared" si="3"/>
        <v>40208.4</v>
      </c>
      <c r="H6" s="15">
        <v>5000.0</v>
      </c>
      <c r="I6" s="15">
        <f t="shared" si="4"/>
        <v>45208.4</v>
      </c>
      <c r="J6" s="16">
        <v>45877.0</v>
      </c>
      <c r="K6" s="12"/>
      <c r="L6" s="17" t="s">
        <v>146</v>
      </c>
      <c r="M6" s="15">
        <f t="shared" si="5"/>
        <v>45208.4</v>
      </c>
      <c r="N6" s="12"/>
      <c r="O6" s="12"/>
      <c r="P6" s="15">
        <f t="shared" si="6"/>
        <v>0</v>
      </c>
      <c r="Q6" s="15"/>
    </row>
    <row r="7" ht="22.5" customHeight="1">
      <c r="A7" s="11">
        <v>36.0</v>
      </c>
      <c r="B7" s="12" t="str">
        <f>Usuarios!B37 &amp; " " &amp; Usuarios!C37 &amp; " " &amp; Usuarios!D37
</f>
        <v>Danilo  Soto  Soto</v>
      </c>
      <c r="C7" s="11">
        <f t="shared" si="1"/>
        <v>0</v>
      </c>
      <c r="D7" s="13">
        <v>0.0</v>
      </c>
      <c r="E7" s="11">
        <f t="shared" si="2"/>
        <v>0</v>
      </c>
      <c r="F7" s="14">
        <v>1182.6</v>
      </c>
      <c r="G7" s="15">
        <f t="shared" si="3"/>
        <v>0</v>
      </c>
      <c r="H7" s="15">
        <v>5000.0</v>
      </c>
      <c r="I7" s="15">
        <f t="shared" si="4"/>
        <v>5000</v>
      </c>
      <c r="J7" s="16">
        <v>45877.0</v>
      </c>
      <c r="K7" s="12"/>
      <c r="L7" s="17" t="s">
        <v>143</v>
      </c>
      <c r="M7" s="15">
        <f t="shared" si="5"/>
        <v>0</v>
      </c>
      <c r="N7" s="12"/>
      <c r="O7" s="12"/>
      <c r="P7" s="15">
        <f t="shared" si="6"/>
        <v>5000</v>
      </c>
      <c r="Q7" s="15"/>
    </row>
    <row r="8" ht="22.5" customHeight="1">
      <c r="A8" s="11">
        <v>10.0</v>
      </c>
      <c r="B8" s="12" t="str">
        <f>Usuarios!B11 &amp; " " &amp; Usuarios!C11 &amp; " " &amp; Usuarios!D11
</f>
        <v>David  Cartes </v>
      </c>
      <c r="C8" s="11">
        <f t="shared" si="1"/>
        <v>140</v>
      </c>
      <c r="D8" s="13">
        <v>150.0</v>
      </c>
      <c r="E8" s="11">
        <f t="shared" si="2"/>
        <v>10</v>
      </c>
      <c r="F8" s="14">
        <v>1182.6</v>
      </c>
      <c r="G8" s="15">
        <f t="shared" si="3"/>
        <v>11826</v>
      </c>
      <c r="H8" s="15">
        <v>5000.0</v>
      </c>
      <c r="I8" s="15">
        <f t="shared" si="4"/>
        <v>16826</v>
      </c>
      <c r="J8" s="16">
        <v>45877.0</v>
      </c>
      <c r="K8" s="12"/>
      <c r="L8" s="17" t="s">
        <v>146</v>
      </c>
      <c r="M8" s="15">
        <f t="shared" si="5"/>
        <v>16826</v>
      </c>
      <c r="N8" s="12"/>
      <c r="O8" s="12"/>
      <c r="P8" s="15">
        <f t="shared" si="6"/>
        <v>0</v>
      </c>
      <c r="Q8" s="15"/>
    </row>
    <row r="9" ht="22.5" customHeight="1">
      <c r="A9" s="11">
        <v>19.0</v>
      </c>
      <c r="B9" s="12" t="str">
        <f>Usuarios!B20 &amp; " " &amp; Usuarios!C20 &amp; " " &amp; Usuarios!D20
</f>
        <v>Eduardo  Chavez </v>
      </c>
      <c r="C9" s="11">
        <f t="shared" si="1"/>
        <v>93</v>
      </c>
      <c r="D9" s="13">
        <v>110.0</v>
      </c>
      <c r="E9" s="11">
        <f t="shared" si="2"/>
        <v>17</v>
      </c>
      <c r="F9" s="14">
        <v>1182.6</v>
      </c>
      <c r="G9" s="15">
        <f t="shared" si="3"/>
        <v>20104.2</v>
      </c>
      <c r="H9" s="15">
        <v>5000.0</v>
      </c>
      <c r="I9" s="15">
        <f t="shared" si="4"/>
        <v>25104.2</v>
      </c>
      <c r="J9" s="16">
        <v>45877.0</v>
      </c>
      <c r="K9" s="12"/>
      <c r="L9" s="17" t="s">
        <v>146</v>
      </c>
      <c r="M9" s="15">
        <f t="shared" si="5"/>
        <v>25104.2</v>
      </c>
      <c r="N9" s="12"/>
      <c r="O9" s="12"/>
      <c r="P9" s="15">
        <f t="shared" si="6"/>
        <v>0</v>
      </c>
      <c r="Q9" s="15"/>
    </row>
    <row r="10" ht="22.5" customHeight="1">
      <c r="A10" s="11">
        <v>52.0</v>
      </c>
      <c r="B10" s="12" t="str">
        <f>Usuarios!B53 &amp; " " &amp; Usuarios!C53 &amp; " " &amp; Usuarios!D53
</f>
        <v>Esteban  Oyarzo  Levil</v>
      </c>
      <c r="C10" s="11">
        <f t="shared" si="1"/>
        <v>0</v>
      </c>
      <c r="D10" s="13">
        <v>0.0</v>
      </c>
      <c r="E10" s="11">
        <f t="shared" si="2"/>
        <v>0</v>
      </c>
      <c r="F10" s="14">
        <v>1182.6</v>
      </c>
      <c r="G10" s="15">
        <f t="shared" si="3"/>
        <v>0</v>
      </c>
      <c r="H10" s="15">
        <v>5000.0</v>
      </c>
      <c r="I10" s="15">
        <f t="shared" si="4"/>
        <v>5000</v>
      </c>
      <c r="J10" s="16">
        <v>45877.0</v>
      </c>
      <c r="K10" s="12"/>
      <c r="L10" s="17" t="s">
        <v>143</v>
      </c>
      <c r="M10" s="15">
        <f t="shared" si="5"/>
        <v>0</v>
      </c>
      <c r="N10" s="12"/>
      <c r="O10" s="12"/>
      <c r="P10" s="15">
        <f t="shared" si="6"/>
        <v>5000</v>
      </c>
      <c r="Q10" s="15"/>
    </row>
    <row r="11" ht="22.5" customHeight="1">
      <c r="A11" s="11">
        <v>8.0</v>
      </c>
      <c r="B11" s="12" t="str">
        <f>Usuarios!B9 &amp; " " &amp; Usuarios!C9 &amp; " " &amp; Usuarios!D9
</f>
        <v>Gabriel  Farias </v>
      </c>
      <c r="C11" s="11">
        <f t="shared" si="1"/>
        <v>508</v>
      </c>
      <c r="D11" s="13">
        <v>531.0</v>
      </c>
      <c r="E11" s="11">
        <f t="shared" si="2"/>
        <v>23</v>
      </c>
      <c r="F11" s="14">
        <v>1182.6</v>
      </c>
      <c r="G11" s="15">
        <f t="shared" si="3"/>
        <v>27199.8</v>
      </c>
      <c r="H11" s="15">
        <v>5000.0</v>
      </c>
      <c r="I11" s="15">
        <f t="shared" si="4"/>
        <v>32199.8</v>
      </c>
      <c r="J11" s="16">
        <v>45877.0</v>
      </c>
      <c r="K11" s="12"/>
      <c r="L11" s="17" t="s">
        <v>146</v>
      </c>
      <c r="M11" s="15">
        <f t="shared" si="5"/>
        <v>32199.8</v>
      </c>
      <c r="N11" s="12"/>
      <c r="O11" s="12"/>
      <c r="P11" s="15">
        <f t="shared" si="6"/>
        <v>0</v>
      </c>
      <c r="Q11" s="15"/>
    </row>
    <row r="12" ht="22.5" customHeight="1">
      <c r="A12" s="11">
        <v>2.0</v>
      </c>
      <c r="B12" s="12" t="str">
        <f>Usuarios!B3 &amp; " " &amp; Usuarios!C3 &amp; " " &amp; Usuarios!D3
</f>
        <v>Gabriel Barria Zuñiga</v>
      </c>
      <c r="C12" s="11">
        <f t="shared" si="1"/>
        <v>351</v>
      </c>
      <c r="D12" s="13">
        <v>372.0</v>
      </c>
      <c r="E12" s="11">
        <f t="shared" si="2"/>
        <v>21</v>
      </c>
      <c r="F12" s="14">
        <v>1182.6</v>
      </c>
      <c r="G12" s="15">
        <f t="shared" si="3"/>
        <v>24834.6</v>
      </c>
      <c r="H12" s="15">
        <v>5000.0</v>
      </c>
      <c r="I12" s="15">
        <f t="shared" si="4"/>
        <v>29834.6</v>
      </c>
      <c r="J12" s="16">
        <v>45877.0</v>
      </c>
      <c r="K12" s="12"/>
      <c r="L12" s="17" t="s">
        <v>146</v>
      </c>
      <c r="M12" s="15">
        <f t="shared" si="5"/>
        <v>29834.6</v>
      </c>
      <c r="N12" s="12"/>
      <c r="O12" s="12"/>
      <c r="P12" s="15">
        <f t="shared" si="6"/>
        <v>0</v>
      </c>
      <c r="Q12" s="15"/>
    </row>
    <row r="13" ht="22.5" customHeight="1">
      <c r="A13" s="11">
        <v>3.0</v>
      </c>
      <c r="B13" s="12" t="str">
        <f>Usuarios!B4 &amp; " " &amp; Usuarios!C4 &amp; " " &amp; Usuarios!D4
</f>
        <v>Gino  Reyes </v>
      </c>
      <c r="C13" s="11">
        <f t="shared" si="1"/>
        <v>1</v>
      </c>
      <c r="D13" s="13">
        <v>3.0</v>
      </c>
      <c r="E13" s="11">
        <f t="shared" si="2"/>
        <v>2</v>
      </c>
      <c r="F13" s="14">
        <v>1182.6</v>
      </c>
      <c r="G13" s="15">
        <f t="shared" si="3"/>
        <v>2365.2</v>
      </c>
      <c r="H13" s="15">
        <v>5000.0</v>
      </c>
      <c r="I13" s="15">
        <f t="shared" si="4"/>
        <v>7365.2</v>
      </c>
      <c r="J13" s="16">
        <v>45877.0</v>
      </c>
      <c r="K13" s="12"/>
      <c r="L13" s="17" t="s">
        <v>146</v>
      </c>
      <c r="M13" s="15">
        <f t="shared" si="5"/>
        <v>7365.2</v>
      </c>
      <c r="N13" s="12"/>
      <c r="O13" s="12"/>
      <c r="P13" s="15">
        <f t="shared" si="6"/>
        <v>0</v>
      </c>
      <c r="Q13" s="15"/>
    </row>
    <row r="14" ht="22.5" customHeight="1">
      <c r="A14" s="11">
        <v>39.0</v>
      </c>
      <c r="B14" s="12" t="str">
        <f>Usuarios!B40 &amp; " " &amp; Usuarios!C40 &amp; " " &amp; Usuarios!D40
</f>
        <v>Gloria  Alvarez </v>
      </c>
      <c r="C14" s="11">
        <f t="shared" si="1"/>
        <v>10</v>
      </c>
      <c r="D14" s="13">
        <v>14.0</v>
      </c>
      <c r="E14" s="11">
        <f t="shared" si="2"/>
        <v>4</v>
      </c>
      <c r="F14" s="14">
        <v>1182.6</v>
      </c>
      <c r="G14" s="15">
        <f t="shared" si="3"/>
        <v>4730.4</v>
      </c>
      <c r="H14" s="15">
        <v>5000.0</v>
      </c>
      <c r="I14" s="15">
        <f t="shared" si="4"/>
        <v>9730.4</v>
      </c>
      <c r="J14" s="16">
        <v>45877.0</v>
      </c>
      <c r="K14" s="12"/>
      <c r="L14" s="17" t="s">
        <v>146</v>
      </c>
      <c r="M14" s="15">
        <f t="shared" si="5"/>
        <v>9730.4</v>
      </c>
      <c r="N14" s="12"/>
      <c r="O14" s="12"/>
      <c r="P14" s="15">
        <f t="shared" si="6"/>
        <v>0</v>
      </c>
      <c r="Q14" s="15"/>
    </row>
    <row r="15" ht="22.5" customHeight="1">
      <c r="A15" s="11">
        <v>40.0</v>
      </c>
      <c r="B15" s="12" t="str">
        <f>Usuarios!B41 &amp; " " &amp; Usuarios!C41 &amp; " " &amp; Usuarios!D41
</f>
        <v>Gloria  Levil </v>
      </c>
      <c r="C15" s="11">
        <f t="shared" si="1"/>
        <v>99</v>
      </c>
      <c r="D15" s="13">
        <v>99.0</v>
      </c>
      <c r="E15" s="11">
        <f t="shared" si="2"/>
        <v>0</v>
      </c>
      <c r="F15" s="14">
        <v>1182.6</v>
      </c>
      <c r="G15" s="15">
        <f t="shared" si="3"/>
        <v>0</v>
      </c>
      <c r="H15" s="15">
        <v>5000.0</v>
      </c>
      <c r="I15" s="15">
        <f t="shared" si="4"/>
        <v>5000</v>
      </c>
      <c r="J15" s="16">
        <v>45877.0</v>
      </c>
      <c r="K15" s="12"/>
      <c r="L15" s="17" t="s">
        <v>143</v>
      </c>
      <c r="M15" s="15">
        <f t="shared" si="5"/>
        <v>0</v>
      </c>
      <c r="N15" s="12"/>
      <c r="O15" s="12"/>
      <c r="P15" s="15">
        <f t="shared" si="6"/>
        <v>5000</v>
      </c>
      <c r="Q15" s="15"/>
    </row>
    <row r="16" ht="22.5" customHeight="1">
      <c r="A16" s="11">
        <v>50.0</v>
      </c>
      <c r="B16" s="12" t="str">
        <f>Usuarios!B51 &amp; " " &amp; Usuarios!C51 &amp; " " &amp; Usuarios!D51
</f>
        <v>Gloria Isamar  Velasquez  Almonacid</v>
      </c>
      <c r="C16" s="11">
        <f t="shared" si="1"/>
        <v>57</v>
      </c>
      <c r="D16" s="13">
        <v>66.0</v>
      </c>
      <c r="E16" s="11">
        <f t="shared" si="2"/>
        <v>9</v>
      </c>
      <c r="F16" s="14">
        <v>1182.6</v>
      </c>
      <c r="G16" s="15">
        <f t="shared" si="3"/>
        <v>10643.4</v>
      </c>
      <c r="H16" s="15">
        <v>5000.0</v>
      </c>
      <c r="I16" s="15">
        <f t="shared" si="4"/>
        <v>15643.4</v>
      </c>
      <c r="J16" s="16">
        <v>45877.0</v>
      </c>
      <c r="K16" s="12"/>
      <c r="L16" s="17" t="s">
        <v>146</v>
      </c>
      <c r="M16" s="15">
        <f t="shared" si="5"/>
        <v>15643.4</v>
      </c>
      <c r="N16" s="12"/>
      <c r="O16" s="12"/>
      <c r="P16" s="15">
        <f t="shared" si="6"/>
        <v>0</v>
      </c>
      <c r="Q16" s="15"/>
    </row>
    <row r="17" ht="22.5" customHeight="1">
      <c r="A17" s="11">
        <v>26.0</v>
      </c>
      <c r="B17" s="12" t="str">
        <f>Usuarios!B27 &amp; " " &amp; Usuarios!C27 &amp; " " &amp; Usuarios!D27
</f>
        <v>Guido  Quintuy </v>
      </c>
      <c r="C17" s="11">
        <f t="shared" si="1"/>
        <v>145</v>
      </c>
      <c r="D17" s="13"/>
      <c r="E17" s="11"/>
      <c r="F17" s="14"/>
      <c r="G17" s="15"/>
      <c r="H17" s="15"/>
      <c r="I17" s="15"/>
      <c r="J17" s="16">
        <v>45877.0</v>
      </c>
      <c r="K17" s="12"/>
      <c r="L17" s="17" t="s">
        <v>144</v>
      </c>
      <c r="M17" s="15"/>
      <c r="N17" s="12"/>
      <c r="O17" s="12"/>
      <c r="P17" s="15"/>
      <c r="Q17" s="15"/>
    </row>
    <row r="18" ht="22.5" customHeight="1">
      <c r="A18" s="11">
        <v>55.0</v>
      </c>
      <c r="B18" s="12" t="str">
        <f>Usuarios!B56 &amp; " " &amp; Usuarios!C56 &amp; " " &amp; Usuarios!D56
</f>
        <v>Guido  Quintuy - Sitio vacío </v>
      </c>
      <c r="C18" s="11">
        <f t="shared" si="1"/>
        <v>0</v>
      </c>
      <c r="D18" s="13">
        <v>0.0</v>
      </c>
      <c r="E18" s="11">
        <f t="shared" ref="E18:E45" si="7">D18-C18</f>
        <v>0</v>
      </c>
      <c r="F18" s="14">
        <v>1182.6</v>
      </c>
      <c r="G18" s="15">
        <f t="shared" ref="G18:G45" si="8">E18*F18</f>
        <v>0</v>
      </c>
      <c r="H18" s="15">
        <v>5000.0</v>
      </c>
      <c r="I18" s="15">
        <f t="shared" ref="I18:I45" si="9">E18*F18+H18</f>
        <v>5000</v>
      </c>
      <c r="J18" s="16">
        <v>45877.0</v>
      </c>
      <c r="K18" s="12"/>
      <c r="L18" s="17" t="s">
        <v>143</v>
      </c>
      <c r="M18" s="15">
        <f t="shared" ref="M18:M40" si="10">IF(L18="Pagado", I18, 0)</f>
        <v>0</v>
      </c>
      <c r="N18" s="12"/>
      <c r="O18" s="12"/>
      <c r="P18" s="15">
        <f t="shared" ref="P18:P57" si="11">IF(L18="NO APLICA",0, (I18-M18))</f>
        <v>5000</v>
      </c>
      <c r="Q18" s="15"/>
    </row>
    <row r="19" ht="22.5" customHeight="1">
      <c r="A19" s="11">
        <v>25.0</v>
      </c>
      <c r="B19" s="12" t="str">
        <f>Usuarios!B26 &amp; " " &amp; Usuarios!C26 &amp; " " &amp; Usuarios!D26
</f>
        <v>Inés  Velasquez </v>
      </c>
      <c r="C19" s="11">
        <f t="shared" si="1"/>
        <v>128</v>
      </c>
      <c r="D19" s="13">
        <v>134.0</v>
      </c>
      <c r="E19" s="11">
        <f t="shared" si="7"/>
        <v>6</v>
      </c>
      <c r="F19" s="14">
        <v>1182.6</v>
      </c>
      <c r="G19" s="15">
        <f t="shared" si="8"/>
        <v>7095.6</v>
      </c>
      <c r="H19" s="15">
        <v>5000.0</v>
      </c>
      <c r="I19" s="15">
        <f t="shared" si="9"/>
        <v>12095.6</v>
      </c>
      <c r="J19" s="16">
        <v>45877.0</v>
      </c>
      <c r="K19" s="12"/>
      <c r="L19" s="17" t="s">
        <v>146</v>
      </c>
      <c r="M19" s="15">
        <f t="shared" si="10"/>
        <v>12095.6</v>
      </c>
      <c r="N19" s="12"/>
      <c r="O19" s="12"/>
      <c r="P19" s="15">
        <f t="shared" si="11"/>
        <v>0</v>
      </c>
      <c r="Q19" s="15"/>
    </row>
    <row r="20" ht="22.5" customHeight="1">
      <c r="A20" s="11">
        <v>17.0</v>
      </c>
      <c r="B20" s="12" t="str">
        <f>Usuarios!B18 &amp; " " &amp; Usuarios!C18 &amp; " " &amp; Usuarios!D18
</f>
        <v>Joaquin  Claramunt </v>
      </c>
      <c r="C20" s="11">
        <f t="shared" si="1"/>
        <v>194</v>
      </c>
      <c r="D20" s="13">
        <v>210.0</v>
      </c>
      <c r="E20" s="11">
        <f t="shared" si="7"/>
        <v>16</v>
      </c>
      <c r="F20" s="14">
        <v>1182.6</v>
      </c>
      <c r="G20" s="15">
        <f t="shared" si="8"/>
        <v>18921.6</v>
      </c>
      <c r="H20" s="15">
        <v>5000.0</v>
      </c>
      <c r="I20" s="15">
        <f t="shared" si="9"/>
        <v>23921.6</v>
      </c>
      <c r="J20" s="16">
        <v>45877.0</v>
      </c>
      <c r="K20" s="12"/>
      <c r="L20" s="17" t="s">
        <v>146</v>
      </c>
      <c r="M20" s="15">
        <f t="shared" si="10"/>
        <v>23921.6</v>
      </c>
      <c r="N20" s="12"/>
      <c r="O20" s="12"/>
      <c r="P20" s="15">
        <f t="shared" si="11"/>
        <v>0</v>
      </c>
      <c r="Q20" s="15"/>
    </row>
    <row r="21" ht="22.5" customHeight="1">
      <c r="A21" s="11">
        <v>35.0</v>
      </c>
      <c r="B21" s="12" t="str">
        <f>Usuarios!B36 &amp; " " &amp; Usuarios!C36 &amp; " " &amp; Usuarios!D36
</f>
        <v>José  Paredes </v>
      </c>
      <c r="C21" s="11">
        <f t="shared" si="1"/>
        <v>0</v>
      </c>
      <c r="D21" s="13">
        <v>0.0</v>
      </c>
      <c r="E21" s="11">
        <f t="shared" si="7"/>
        <v>0</v>
      </c>
      <c r="F21" s="14">
        <v>1182.6</v>
      </c>
      <c r="G21" s="15">
        <f t="shared" si="8"/>
        <v>0</v>
      </c>
      <c r="H21" s="15">
        <v>5000.0</v>
      </c>
      <c r="I21" s="15">
        <f t="shared" si="9"/>
        <v>5000</v>
      </c>
      <c r="J21" s="16">
        <v>45877.0</v>
      </c>
      <c r="K21" s="12"/>
      <c r="L21" s="17" t="s">
        <v>143</v>
      </c>
      <c r="M21" s="15">
        <f t="shared" si="10"/>
        <v>0</v>
      </c>
      <c r="N21" s="12"/>
      <c r="O21" s="12"/>
      <c r="P21" s="15">
        <f t="shared" si="11"/>
        <v>5000</v>
      </c>
      <c r="Q21" s="15"/>
    </row>
    <row r="22" ht="22.5" customHeight="1">
      <c r="A22" s="11">
        <v>20.0</v>
      </c>
      <c r="B22" s="12" t="str">
        <f>Usuarios!B21 &amp; " " &amp; Usuarios!C21 &amp; " " &amp; Usuarios!D21
</f>
        <v>Juan  Chavez </v>
      </c>
      <c r="C22" s="11">
        <f t="shared" si="1"/>
        <v>28</v>
      </c>
      <c r="D22" s="13">
        <v>29.0</v>
      </c>
      <c r="E22" s="11">
        <f t="shared" si="7"/>
        <v>1</v>
      </c>
      <c r="F22" s="14">
        <v>1182.6</v>
      </c>
      <c r="G22" s="15">
        <f t="shared" si="8"/>
        <v>1182.6</v>
      </c>
      <c r="H22" s="15">
        <v>5000.0</v>
      </c>
      <c r="I22" s="15">
        <f t="shared" si="9"/>
        <v>6182.6</v>
      </c>
      <c r="J22" s="16">
        <v>45877.0</v>
      </c>
      <c r="K22" s="12"/>
      <c r="L22" s="17" t="s">
        <v>146</v>
      </c>
      <c r="M22" s="15">
        <f t="shared" si="10"/>
        <v>6182.6</v>
      </c>
      <c r="N22" s="12"/>
      <c r="O22" s="12"/>
      <c r="P22" s="15">
        <f t="shared" si="11"/>
        <v>0</v>
      </c>
      <c r="Q22" s="15"/>
    </row>
    <row r="23" ht="22.5" customHeight="1">
      <c r="A23" s="11">
        <v>42.0</v>
      </c>
      <c r="B23" s="12" t="str">
        <f>Usuarios!B43 &amp; " " &amp; Usuarios!C43 &amp; " " &amp; Usuarios!D43
</f>
        <v>Leo  Soto </v>
      </c>
      <c r="C23" s="11">
        <f t="shared" si="1"/>
        <v>10</v>
      </c>
      <c r="D23" s="13">
        <v>0.0</v>
      </c>
      <c r="E23" s="11">
        <f t="shared" si="7"/>
        <v>-10</v>
      </c>
      <c r="F23" s="14">
        <v>1182.6</v>
      </c>
      <c r="G23" s="15">
        <f t="shared" si="8"/>
        <v>-11826</v>
      </c>
      <c r="H23" s="15">
        <v>5000.0</v>
      </c>
      <c r="I23" s="15">
        <f t="shared" si="9"/>
        <v>-6826</v>
      </c>
      <c r="J23" s="16">
        <v>45877.0</v>
      </c>
      <c r="K23" s="12"/>
      <c r="L23" s="17" t="s">
        <v>143</v>
      </c>
      <c r="M23" s="15">
        <f t="shared" si="10"/>
        <v>0</v>
      </c>
      <c r="N23" s="12"/>
      <c r="O23" s="12"/>
      <c r="P23" s="15">
        <f t="shared" si="11"/>
        <v>-6826</v>
      </c>
      <c r="Q23" s="15"/>
    </row>
    <row r="24" ht="22.5" customHeight="1">
      <c r="A24" s="11">
        <v>57.0</v>
      </c>
      <c r="B24" s="12" t="str">
        <f>Usuarios!B58 &amp; " " &amp; Usuarios!C58 &amp; " " &amp; Usuarios!D58
</f>
        <v>Lishby  Fuentes  Diaz</v>
      </c>
      <c r="C24" s="11">
        <f t="shared" si="1"/>
        <v>0</v>
      </c>
      <c r="D24" s="13">
        <v>15.0</v>
      </c>
      <c r="E24" s="11">
        <f t="shared" si="7"/>
        <v>15</v>
      </c>
      <c r="F24" s="14">
        <v>1182.6</v>
      </c>
      <c r="G24" s="15">
        <f t="shared" si="8"/>
        <v>17739</v>
      </c>
      <c r="H24" s="15">
        <v>5000.0</v>
      </c>
      <c r="I24" s="15">
        <f t="shared" si="9"/>
        <v>22739</v>
      </c>
      <c r="J24" s="16">
        <v>45877.0</v>
      </c>
      <c r="K24" s="12"/>
      <c r="L24" s="17" t="s">
        <v>146</v>
      </c>
      <c r="M24" s="15">
        <f t="shared" si="10"/>
        <v>22739</v>
      </c>
      <c r="N24" s="12"/>
      <c r="O24" s="12"/>
      <c r="P24" s="15">
        <f t="shared" si="11"/>
        <v>0</v>
      </c>
      <c r="Q24" s="15"/>
    </row>
    <row r="25" ht="22.5" customHeight="1">
      <c r="A25" s="11">
        <v>48.0</v>
      </c>
      <c r="B25" s="12" t="str">
        <f>Usuarios!B49 &amp; " " &amp; Usuarios!C49 &amp; " " &amp; Usuarios!D49
</f>
        <v>Luis Vicente   Mondaca  Muñoz</v>
      </c>
      <c r="C25" s="11">
        <f t="shared" si="1"/>
        <v>339</v>
      </c>
      <c r="D25" s="13">
        <v>359.0</v>
      </c>
      <c r="E25" s="11">
        <f t="shared" si="7"/>
        <v>20</v>
      </c>
      <c r="F25" s="14">
        <v>1182.6</v>
      </c>
      <c r="G25" s="15">
        <f t="shared" si="8"/>
        <v>23652</v>
      </c>
      <c r="H25" s="15">
        <v>5000.0</v>
      </c>
      <c r="I25" s="15">
        <f t="shared" si="9"/>
        <v>28652</v>
      </c>
      <c r="J25" s="16">
        <v>45877.0</v>
      </c>
      <c r="K25" s="12"/>
      <c r="L25" s="17" t="s">
        <v>146</v>
      </c>
      <c r="M25" s="15">
        <f t="shared" si="10"/>
        <v>28652</v>
      </c>
      <c r="N25" s="16">
        <v>45939.0</v>
      </c>
      <c r="O25" s="36" t="s">
        <v>148</v>
      </c>
      <c r="P25" s="15">
        <f t="shared" si="11"/>
        <v>0</v>
      </c>
      <c r="Q25" s="15"/>
    </row>
    <row r="26" ht="22.5" customHeight="1">
      <c r="A26" s="11">
        <v>30.0</v>
      </c>
      <c r="B26" s="12" t="str">
        <f>Usuarios!B31 &amp; " " &amp; Usuarios!C31 &amp; " " &amp; Usuarios!D31
</f>
        <v>Luz  Maldonado </v>
      </c>
      <c r="C26" s="11">
        <f t="shared" si="1"/>
        <v>5</v>
      </c>
      <c r="D26" s="13">
        <v>5.0</v>
      </c>
      <c r="E26" s="11">
        <f t="shared" si="7"/>
        <v>0</v>
      </c>
      <c r="F26" s="14">
        <v>1182.6</v>
      </c>
      <c r="G26" s="15">
        <f t="shared" si="8"/>
        <v>0</v>
      </c>
      <c r="H26" s="15">
        <v>5000.0</v>
      </c>
      <c r="I26" s="15">
        <f t="shared" si="9"/>
        <v>5000</v>
      </c>
      <c r="J26" s="16">
        <v>45877.0</v>
      </c>
      <c r="K26" s="12"/>
      <c r="L26" s="17" t="s">
        <v>146</v>
      </c>
      <c r="M26" s="15">
        <f t="shared" si="10"/>
        <v>5000</v>
      </c>
      <c r="N26" s="12"/>
      <c r="O26" s="12"/>
      <c r="P26" s="15">
        <f t="shared" si="11"/>
        <v>0</v>
      </c>
      <c r="Q26" s="15"/>
    </row>
    <row r="27" ht="22.5" customHeight="1">
      <c r="A27" s="11">
        <v>7.0</v>
      </c>
      <c r="B27" s="12" t="str">
        <f>Usuarios!B8 &amp; " " &amp; Usuarios!C8 &amp; " " &amp; Usuarios!D8
</f>
        <v>Marcelo  Millanao </v>
      </c>
      <c r="C27" s="11">
        <f t="shared" si="1"/>
        <v>272</v>
      </c>
      <c r="D27" s="13">
        <v>285.0</v>
      </c>
      <c r="E27" s="11">
        <f t="shared" si="7"/>
        <v>13</v>
      </c>
      <c r="F27" s="14">
        <v>1182.6</v>
      </c>
      <c r="G27" s="15">
        <f t="shared" si="8"/>
        <v>15373.8</v>
      </c>
      <c r="H27" s="15">
        <v>5000.0</v>
      </c>
      <c r="I27" s="15">
        <f t="shared" si="9"/>
        <v>20373.8</v>
      </c>
      <c r="J27" s="16">
        <v>45877.0</v>
      </c>
      <c r="K27" s="12"/>
      <c r="L27" s="17" t="s">
        <v>146</v>
      </c>
      <c r="M27" s="15">
        <f t="shared" si="10"/>
        <v>20373.8</v>
      </c>
      <c r="N27" s="12"/>
      <c r="O27" s="12"/>
      <c r="P27" s="15">
        <f t="shared" si="11"/>
        <v>0</v>
      </c>
      <c r="Q27" s="15"/>
    </row>
    <row r="28" ht="22.5" customHeight="1">
      <c r="A28" s="11">
        <v>51.0</v>
      </c>
      <c r="B28" s="12" t="str">
        <f>Usuarios!B52 &amp; " " &amp; Usuarios!C52 &amp; " " &amp; Usuarios!D52
</f>
        <v>Maria  Manquian </v>
      </c>
      <c r="C28" s="11">
        <f t="shared" si="1"/>
        <v>0</v>
      </c>
      <c r="D28" s="13">
        <v>0.0</v>
      </c>
      <c r="E28" s="11">
        <f t="shared" si="7"/>
        <v>0</v>
      </c>
      <c r="F28" s="14">
        <v>1182.6</v>
      </c>
      <c r="G28" s="15">
        <f t="shared" si="8"/>
        <v>0</v>
      </c>
      <c r="H28" s="15">
        <v>5000.0</v>
      </c>
      <c r="I28" s="15">
        <f t="shared" si="9"/>
        <v>5000</v>
      </c>
      <c r="J28" s="16">
        <v>45877.0</v>
      </c>
      <c r="K28" s="12"/>
      <c r="L28" s="17" t="s">
        <v>143</v>
      </c>
      <c r="M28" s="15">
        <f t="shared" si="10"/>
        <v>0</v>
      </c>
      <c r="N28" s="12"/>
      <c r="O28" s="12" t="s">
        <v>147</v>
      </c>
      <c r="P28" s="15">
        <f t="shared" si="11"/>
        <v>5000</v>
      </c>
      <c r="Q28" s="15"/>
    </row>
    <row r="29" ht="21.75" customHeight="1">
      <c r="A29" s="11">
        <v>9.0</v>
      </c>
      <c r="B29" s="12" t="str">
        <f>Usuarios!B10 &amp; " " &amp; Usuarios!C10 &amp; " " &amp; Usuarios!D10
</f>
        <v>Maria  Marin </v>
      </c>
      <c r="C29" s="11">
        <f t="shared" si="1"/>
        <v>202</v>
      </c>
      <c r="D29" s="13">
        <v>212.0</v>
      </c>
      <c r="E29" s="11">
        <f t="shared" si="7"/>
        <v>10</v>
      </c>
      <c r="F29" s="14">
        <v>1182.6</v>
      </c>
      <c r="G29" s="15">
        <f t="shared" si="8"/>
        <v>11826</v>
      </c>
      <c r="H29" s="15">
        <v>5000.0</v>
      </c>
      <c r="I29" s="15">
        <f t="shared" si="9"/>
        <v>16826</v>
      </c>
      <c r="J29" s="16">
        <v>45877.0</v>
      </c>
      <c r="K29" s="12"/>
      <c r="L29" s="17" t="s">
        <v>146</v>
      </c>
      <c r="M29" s="15">
        <f t="shared" si="10"/>
        <v>16826</v>
      </c>
      <c r="N29" s="12"/>
      <c r="O29" s="12"/>
      <c r="P29" s="15">
        <f t="shared" si="11"/>
        <v>0</v>
      </c>
      <c r="Q29" s="15"/>
    </row>
    <row r="30" ht="22.5" customHeight="1">
      <c r="A30" s="11">
        <v>33.0</v>
      </c>
      <c r="B30" s="12" t="str">
        <f>Usuarios!B34 &amp; " " &amp; Usuarios!C34 &amp; " " &amp; Usuarios!D34
</f>
        <v>Maria Oliva  Soto  Almonacid</v>
      </c>
      <c r="C30" s="11">
        <f t="shared" si="1"/>
        <v>54</v>
      </c>
      <c r="D30" s="13">
        <v>55.0</v>
      </c>
      <c r="E30" s="11">
        <f t="shared" si="7"/>
        <v>1</v>
      </c>
      <c r="F30" s="14">
        <v>1182.6</v>
      </c>
      <c r="G30" s="15">
        <f t="shared" si="8"/>
        <v>1182.6</v>
      </c>
      <c r="H30" s="15">
        <v>5000.0</v>
      </c>
      <c r="I30" s="15">
        <f t="shared" si="9"/>
        <v>6182.6</v>
      </c>
      <c r="J30" s="16">
        <v>45877.0</v>
      </c>
      <c r="K30" s="12"/>
      <c r="L30" s="17" t="s">
        <v>146</v>
      </c>
      <c r="M30" s="15">
        <f t="shared" si="10"/>
        <v>6182.6</v>
      </c>
      <c r="N30" s="12"/>
      <c r="O30" s="12"/>
      <c r="P30" s="15">
        <f t="shared" si="11"/>
        <v>0</v>
      </c>
      <c r="Q30" s="15"/>
    </row>
    <row r="31" ht="22.5" customHeight="1">
      <c r="A31" s="11">
        <v>44.0</v>
      </c>
      <c r="B31" s="12" t="str">
        <f>Usuarios!B45 &amp; " " &amp; Usuarios!C45 &amp; " " &amp; Usuarios!D45
</f>
        <v>María Sonia  Quintui </v>
      </c>
      <c r="C31" s="11">
        <f t="shared" si="1"/>
        <v>14</v>
      </c>
      <c r="D31" s="13">
        <v>18.0</v>
      </c>
      <c r="E31" s="11">
        <f t="shared" si="7"/>
        <v>4</v>
      </c>
      <c r="F31" s="14">
        <v>1182.6</v>
      </c>
      <c r="G31" s="15">
        <f t="shared" si="8"/>
        <v>4730.4</v>
      </c>
      <c r="H31" s="15">
        <v>5000.0</v>
      </c>
      <c r="I31" s="15">
        <f t="shared" si="9"/>
        <v>9730.4</v>
      </c>
      <c r="J31" s="16">
        <v>45877.0</v>
      </c>
      <c r="K31" s="12"/>
      <c r="L31" s="17" t="s">
        <v>143</v>
      </c>
      <c r="M31" s="15">
        <f t="shared" si="10"/>
        <v>0</v>
      </c>
      <c r="N31" s="12"/>
      <c r="O31" s="12"/>
      <c r="P31" s="15">
        <f t="shared" si="11"/>
        <v>9730.4</v>
      </c>
      <c r="Q31" s="15"/>
    </row>
    <row r="32" ht="22.5" customHeight="1">
      <c r="A32" s="11">
        <v>24.0</v>
      </c>
      <c r="B32" s="12" t="str">
        <f>Usuarios!B25 &amp; " " &amp; Usuarios!C25 &amp; " " &amp; Usuarios!D25
</f>
        <v>Maria Velasquez  Miranda</v>
      </c>
      <c r="C32" s="11">
        <f t="shared" si="1"/>
        <v>292</v>
      </c>
      <c r="D32" s="13">
        <v>302.0</v>
      </c>
      <c r="E32" s="11">
        <f t="shared" si="7"/>
        <v>10</v>
      </c>
      <c r="F32" s="14">
        <v>1182.6</v>
      </c>
      <c r="G32" s="15">
        <f t="shared" si="8"/>
        <v>11826</v>
      </c>
      <c r="H32" s="15">
        <v>5000.0</v>
      </c>
      <c r="I32" s="15">
        <f t="shared" si="9"/>
        <v>16826</v>
      </c>
      <c r="J32" s="16">
        <v>45877.0</v>
      </c>
      <c r="K32" s="12"/>
      <c r="L32" s="17" t="s">
        <v>146</v>
      </c>
      <c r="M32" s="15">
        <f t="shared" si="10"/>
        <v>16826</v>
      </c>
      <c r="N32" s="12"/>
      <c r="O32" s="12"/>
      <c r="P32" s="15">
        <f t="shared" si="11"/>
        <v>0</v>
      </c>
      <c r="Q32" s="15"/>
    </row>
    <row r="33" ht="22.5" customHeight="1">
      <c r="A33" s="11">
        <v>56.0</v>
      </c>
      <c r="B33" s="12" t="str">
        <f>Usuarios!B57 &amp; " " &amp; Usuarios!C57 &amp; " " &amp; Usuarios!D57
</f>
        <v>Mario  Velasquez </v>
      </c>
      <c r="C33" s="11">
        <f t="shared" si="1"/>
        <v>47</v>
      </c>
      <c r="D33" s="13">
        <v>56.0</v>
      </c>
      <c r="E33" s="11">
        <f t="shared" si="7"/>
        <v>9</v>
      </c>
      <c r="F33" s="14">
        <v>1182.6</v>
      </c>
      <c r="G33" s="15">
        <f t="shared" si="8"/>
        <v>10643.4</v>
      </c>
      <c r="H33" s="15">
        <v>5000.0</v>
      </c>
      <c r="I33" s="15">
        <f t="shared" si="9"/>
        <v>15643.4</v>
      </c>
      <c r="J33" s="16">
        <v>45877.0</v>
      </c>
      <c r="K33" s="12"/>
      <c r="L33" s="17" t="s">
        <v>146</v>
      </c>
      <c r="M33" s="15">
        <f t="shared" si="10"/>
        <v>15643.4</v>
      </c>
      <c r="N33" s="12"/>
      <c r="O33" s="12"/>
      <c r="P33" s="15">
        <f t="shared" si="11"/>
        <v>0</v>
      </c>
      <c r="Q33" s="15"/>
    </row>
    <row r="34" ht="22.5" customHeight="1">
      <c r="A34" s="11">
        <v>5.0</v>
      </c>
      <c r="B34" s="12" t="str">
        <f>Usuarios!B6 &amp; " " &amp; Usuarios!C6 &amp; " " &amp; Usuarios!D6
</f>
        <v>Marisol  Castro </v>
      </c>
      <c r="C34" s="11">
        <f t="shared" si="1"/>
        <v>123</v>
      </c>
      <c r="D34" s="13">
        <v>130.0</v>
      </c>
      <c r="E34" s="11">
        <f t="shared" si="7"/>
        <v>7</v>
      </c>
      <c r="F34" s="14">
        <v>1182.6</v>
      </c>
      <c r="G34" s="15">
        <f t="shared" si="8"/>
        <v>8278.2</v>
      </c>
      <c r="H34" s="15">
        <v>5000.0</v>
      </c>
      <c r="I34" s="15">
        <f t="shared" si="9"/>
        <v>13278.2</v>
      </c>
      <c r="J34" s="16">
        <v>45877.0</v>
      </c>
      <c r="K34" s="12"/>
      <c r="L34" s="17" t="s">
        <v>146</v>
      </c>
      <c r="M34" s="15">
        <f t="shared" si="10"/>
        <v>13278.2</v>
      </c>
      <c r="N34" s="12"/>
      <c r="O34" s="12"/>
      <c r="P34" s="15">
        <f t="shared" si="11"/>
        <v>0</v>
      </c>
      <c r="Q34" s="15"/>
    </row>
    <row r="35" ht="22.5" customHeight="1">
      <c r="A35" s="11">
        <v>6.0</v>
      </c>
      <c r="B35" s="12" t="str">
        <f>Usuarios!B7 &amp; " " &amp; Usuarios!C7 &amp; " " &amp; Usuarios!D7
</f>
        <v>Mauricio  Muñoz </v>
      </c>
      <c r="C35" s="11">
        <f t="shared" si="1"/>
        <v>220</v>
      </c>
      <c r="D35" s="13">
        <v>225.0</v>
      </c>
      <c r="E35" s="11">
        <f t="shared" si="7"/>
        <v>5</v>
      </c>
      <c r="F35" s="14">
        <v>1182.6</v>
      </c>
      <c r="G35" s="15">
        <f t="shared" si="8"/>
        <v>5913</v>
      </c>
      <c r="H35" s="15">
        <v>5000.0</v>
      </c>
      <c r="I35" s="15">
        <f t="shared" si="9"/>
        <v>10913</v>
      </c>
      <c r="J35" s="16">
        <v>45877.0</v>
      </c>
      <c r="K35" s="12"/>
      <c r="L35" s="17" t="s">
        <v>146</v>
      </c>
      <c r="M35" s="15">
        <f t="shared" si="10"/>
        <v>10913</v>
      </c>
      <c r="N35" s="12"/>
      <c r="O35" s="12"/>
      <c r="P35" s="15">
        <f t="shared" si="11"/>
        <v>0</v>
      </c>
      <c r="Q35" s="15"/>
    </row>
    <row r="36" ht="22.5" customHeight="1">
      <c r="A36" s="11">
        <v>46.0</v>
      </c>
      <c r="B36" s="12" t="str">
        <f>Usuarios!B47 &amp; " " &amp; Usuarios!C47 &amp; " " &amp; Usuarios!D47
</f>
        <v>Mauricio  Muñoz taller </v>
      </c>
      <c r="C36" s="11">
        <f t="shared" si="1"/>
        <v>0</v>
      </c>
      <c r="D36" s="13">
        <v>0.0</v>
      </c>
      <c r="E36" s="11">
        <f t="shared" si="7"/>
        <v>0</v>
      </c>
      <c r="F36" s="14">
        <v>1182.6</v>
      </c>
      <c r="G36" s="15">
        <f t="shared" si="8"/>
        <v>0</v>
      </c>
      <c r="H36" s="15">
        <v>5000.0</v>
      </c>
      <c r="I36" s="15">
        <f t="shared" si="9"/>
        <v>5000</v>
      </c>
      <c r="J36" s="16">
        <v>45877.0</v>
      </c>
      <c r="K36" s="12"/>
      <c r="L36" s="17" t="s">
        <v>143</v>
      </c>
      <c r="M36" s="15">
        <f t="shared" si="10"/>
        <v>0</v>
      </c>
      <c r="N36" s="12"/>
      <c r="O36" s="12"/>
      <c r="P36" s="15">
        <f t="shared" si="11"/>
        <v>5000</v>
      </c>
      <c r="Q36" s="15"/>
    </row>
    <row r="37" ht="22.5" customHeight="1">
      <c r="A37" s="11">
        <v>11.0</v>
      </c>
      <c r="B37" s="12" t="str">
        <f>Usuarios!B12 &amp; " " &amp; Usuarios!C12 &amp; " " &amp; Usuarios!D12
</f>
        <v>Miguel  Ñanco </v>
      </c>
      <c r="C37" s="11">
        <f t="shared" si="1"/>
        <v>0</v>
      </c>
      <c r="D37" s="13">
        <v>1.0</v>
      </c>
      <c r="E37" s="11">
        <f t="shared" si="7"/>
        <v>1</v>
      </c>
      <c r="F37" s="14">
        <v>1182.6</v>
      </c>
      <c r="G37" s="15">
        <f t="shared" si="8"/>
        <v>1182.6</v>
      </c>
      <c r="H37" s="15">
        <v>5000.0</v>
      </c>
      <c r="I37" s="15">
        <f t="shared" si="9"/>
        <v>6182.6</v>
      </c>
      <c r="J37" s="16">
        <v>45877.0</v>
      </c>
      <c r="K37" s="12"/>
      <c r="L37" s="17" t="s">
        <v>146</v>
      </c>
      <c r="M37" s="15">
        <f t="shared" si="10"/>
        <v>6182.6</v>
      </c>
      <c r="N37" s="12"/>
      <c r="O37" s="12"/>
      <c r="P37" s="15">
        <f t="shared" si="11"/>
        <v>0</v>
      </c>
      <c r="Q37" s="15"/>
    </row>
    <row r="38" ht="22.5" customHeight="1">
      <c r="A38" s="11">
        <v>29.0</v>
      </c>
      <c r="B38" s="12" t="str">
        <f>Usuarios!B30 &amp; " " &amp; Usuarios!C30 &amp; " " &amp; Usuarios!D30
</f>
        <v>Miriam  Alvarado </v>
      </c>
      <c r="C38" s="11">
        <f t="shared" si="1"/>
        <v>613</v>
      </c>
      <c r="D38" s="13">
        <v>636.0</v>
      </c>
      <c r="E38" s="11">
        <f t="shared" si="7"/>
        <v>23</v>
      </c>
      <c r="F38" s="14">
        <v>1182.6</v>
      </c>
      <c r="G38" s="15">
        <f t="shared" si="8"/>
        <v>27199.8</v>
      </c>
      <c r="H38" s="15">
        <v>5000.0</v>
      </c>
      <c r="I38" s="15">
        <f t="shared" si="9"/>
        <v>32199.8</v>
      </c>
      <c r="J38" s="16">
        <v>45877.0</v>
      </c>
      <c r="K38" s="12"/>
      <c r="L38" s="17" t="s">
        <v>143</v>
      </c>
      <c r="M38" s="15">
        <f t="shared" si="10"/>
        <v>0</v>
      </c>
      <c r="N38" s="12"/>
      <c r="O38" s="12"/>
      <c r="P38" s="15">
        <f t="shared" si="11"/>
        <v>32199.8</v>
      </c>
      <c r="Q38" s="15"/>
    </row>
    <row r="39" ht="22.5" customHeight="1">
      <c r="A39" s="11">
        <v>45.0</v>
      </c>
      <c r="B39" s="12" t="str">
        <f>Usuarios!B46 &amp; " " &amp; Usuarios!C46 &amp; " " &amp; Usuarios!D46
</f>
        <v>Monica  Cuello </v>
      </c>
      <c r="C39" s="11">
        <f t="shared" si="1"/>
        <v>0</v>
      </c>
      <c r="D39" s="13">
        <v>0.0</v>
      </c>
      <c r="E39" s="11">
        <f t="shared" si="7"/>
        <v>0</v>
      </c>
      <c r="F39" s="14">
        <v>1182.6</v>
      </c>
      <c r="G39" s="15">
        <f t="shared" si="8"/>
        <v>0</v>
      </c>
      <c r="H39" s="15">
        <v>5000.0</v>
      </c>
      <c r="I39" s="15">
        <f t="shared" si="9"/>
        <v>5000</v>
      </c>
      <c r="J39" s="16">
        <v>45877.0</v>
      </c>
      <c r="K39" s="12"/>
      <c r="L39" s="17" t="s">
        <v>146</v>
      </c>
      <c r="M39" s="15">
        <f t="shared" si="10"/>
        <v>5000</v>
      </c>
      <c r="N39" s="12"/>
      <c r="O39" s="12"/>
      <c r="P39" s="15">
        <f t="shared" si="11"/>
        <v>0</v>
      </c>
      <c r="Q39" s="15"/>
    </row>
    <row r="40" ht="22.5" customHeight="1">
      <c r="A40" s="11">
        <v>1.0</v>
      </c>
      <c r="B40" s="12" t="str">
        <f>Usuarios!B2 &amp; " " &amp; Usuarios!C2 &amp; " " &amp; Usuarios!D2
</f>
        <v>Nancy Zuñiga Villarroel</v>
      </c>
      <c r="C40" s="11">
        <f t="shared" si="1"/>
        <v>222</v>
      </c>
      <c r="D40" s="13">
        <v>233.0</v>
      </c>
      <c r="E40" s="11">
        <f t="shared" si="7"/>
        <v>11</v>
      </c>
      <c r="F40" s="14">
        <v>1182.6</v>
      </c>
      <c r="G40" s="15">
        <f t="shared" si="8"/>
        <v>13008.6</v>
      </c>
      <c r="H40" s="15">
        <v>5000.0</v>
      </c>
      <c r="I40" s="15">
        <f t="shared" si="9"/>
        <v>18008.6</v>
      </c>
      <c r="J40" s="16">
        <v>45877.0</v>
      </c>
      <c r="K40" s="12"/>
      <c r="L40" s="17" t="s">
        <v>143</v>
      </c>
      <c r="M40" s="15">
        <f t="shared" si="10"/>
        <v>0</v>
      </c>
      <c r="N40" s="12"/>
      <c r="O40" s="12"/>
      <c r="P40" s="15">
        <f t="shared" si="11"/>
        <v>18008.6</v>
      </c>
      <c r="Q40" s="15"/>
    </row>
    <row r="41" ht="22.5" customHeight="1">
      <c r="A41" s="11">
        <v>32.0</v>
      </c>
      <c r="B41" s="12" t="str">
        <f>Usuarios!B33 &amp; " " &amp; Usuarios!C33 &amp; " " &amp; Usuarios!D33
</f>
        <v>Natividad  Soto </v>
      </c>
      <c r="C41" s="11">
        <f t="shared" si="1"/>
        <v>129</v>
      </c>
      <c r="D41" s="13">
        <v>153.0</v>
      </c>
      <c r="E41" s="11">
        <f t="shared" si="7"/>
        <v>24</v>
      </c>
      <c r="F41" s="14">
        <v>1182.6</v>
      </c>
      <c r="G41" s="15">
        <f t="shared" si="8"/>
        <v>28382.4</v>
      </c>
      <c r="H41" s="15">
        <v>5000.0</v>
      </c>
      <c r="I41" s="15">
        <f t="shared" si="9"/>
        <v>33382.4</v>
      </c>
      <c r="J41" s="16">
        <v>45877.0</v>
      </c>
      <c r="K41" s="12"/>
      <c r="L41" s="17" t="s">
        <v>146</v>
      </c>
      <c r="M41" s="19">
        <v>28000.0</v>
      </c>
      <c r="N41" s="12"/>
      <c r="O41" s="12"/>
      <c r="P41" s="15">
        <f t="shared" si="11"/>
        <v>5382.4</v>
      </c>
      <c r="Q41" s="15"/>
    </row>
    <row r="42" ht="22.5" customHeight="1">
      <c r="A42" s="11">
        <v>18.0</v>
      </c>
      <c r="B42" s="12" t="str">
        <f>Usuarios!B19 &amp; " " &amp; Usuarios!C19 &amp; " " &amp; Usuarios!D19
</f>
        <v>Nelson  Mansilla </v>
      </c>
      <c r="C42" s="11">
        <f t="shared" si="1"/>
        <v>147</v>
      </c>
      <c r="D42" s="13">
        <v>151.0</v>
      </c>
      <c r="E42" s="11">
        <f t="shared" si="7"/>
        <v>4</v>
      </c>
      <c r="F42" s="14">
        <v>1182.6</v>
      </c>
      <c r="G42" s="15">
        <f t="shared" si="8"/>
        <v>4730.4</v>
      </c>
      <c r="H42" s="15">
        <v>5000.0</v>
      </c>
      <c r="I42" s="15">
        <f t="shared" si="9"/>
        <v>9730.4</v>
      </c>
      <c r="J42" s="16">
        <v>45877.0</v>
      </c>
      <c r="K42" s="12"/>
      <c r="L42" s="17" t="s">
        <v>143</v>
      </c>
      <c r="M42" s="15">
        <f t="shared" ref="M42:M57" si="12">IF(L42="Pagado", I42, 0)</f>
        <v>0</v>
      </c>
      <c r="N42" s="12"/>
      <c r="O42" s="12"/>
      <c r="P42" s="15">
        <f t="shared" si="11"/>
        <v>9730.4</v>
      </c>
      <c r="Q42" s="15"/>
    </row>
    <row r="43" ht="22.5" customHeight="1">
      <c r="A43" s="11">
        <v>53.0</v>
      </c>
      <c r="B43" s="12" t="str">
        <f>Usuarios!B54 &amp; " " &amp; Usuarios!C54 &amp; " " &amp; Usuarios!D54
</f>
        <v>Nicolas Andres  Cardenas Bustamante</v>
      </c>
      <c r="C43" s="11">
        <f t="shared" si="1"/>
        <v>0</v>
      </c>
      <c r="D43" s="13">
        <v>0.0</v>
      </c>
      <c r="E43" s="11">
        <f t="shared" si="7"/>
        <v>0</v>
      </c>
      <c r="F43" s="14">
        <v>1182.6</v>
      </c>
      <c r="G43" s="15">
        <f t="shared" si="8"/>
        <v>0</v>
      </c>
      <c r="H43" s="15">
        <v>5000.0</v>
      </c>
      <c r="I43" s="15">
        <f t="shared" si="9"/>
        <v>5000</v>
      </c>
      <c r="J43" s="16">
        <v>45877.0</v>
      </c>
      <c r="K43" s="12"/>
      <c r="L43" s="17" t="s">
        <v>143</v>
      </c>
      <c r="M43" s="15">
        <f t="shared" si="12"/>
        <v>0</v>
      </c>
      <c r="N43" s="12"/>
      <c r="O43" s="12"/>
      <c r="P43" s="15">
        <f t="shared" si="11"/>
        <v>5000</v>
      </c>
      <c r="Q43" s="15"/>
    </row>
    <row r="44" ht="22.5" customHeight="1">
      <c r="A44" s="11">
        <v>28.0</v>
      </c>
      <c r="B44" s="12" t="str">
        <f>Usuarios!B29 &amp; " " &amp; Usuarios!C29 &amp; " " &amp; Usuarios!D29
</f>
        <v>Nora  Ñanco </v>
      </c>
      <c r="C44" s="11">
        <f t="shared" si="1"/>
        <v>494</v>
      </c>
      <c r="D44" s="13">
        <v>513.0</v>
      </c>
      <c r="E44" s="11">
        <f t="shared" si="7"/>
        <v>19</v>
      </c>
      <c r="F44" s="14">
        <v>1182.6</v>
      </c>
      <c r="G44" s="15">
        <f t="shared" si="8"/>
        <v>22469.4</v>
      </c>
      <c r="H44" s="15">
        <v>5000.0</v>
      </c>
      <c r="I44" s="15">
        <f t="shared" si="9"/>
        <v>27469.4</v>
      </c>
      <c r="J44" s="16">
        <v>45877.0</v>
      </c>
      <c r="K44" s="12"/>
      <c r="L44" s="17" t="s">
        <v>146</v>
      </c>
      <c r="M44" s="15">
        <f t="shared" si="12"/>
        <v>27469.4</v>
      </c>
      <c r="N44" s="12"/>
      <c r="O44" s="12"/>
      <c r="P44" s="15">
        <f t="shared" si="11"/>
        <v>0</v>
      </c>
      <c r="Q44" s="15"/>
    </row>
    <row r="45" ht="22.5" customHeight="1">
      <c r="A45" s="11">
        <v>38.0</v>
      </c>
      <c r="B45" s="12" t="str">
        <f>Usuarios!B39 &amp; " " &amp; Usuarios!C39 &amp; " " &amp; Usuarios!D39
</f>
        <v>Norma  Sanchez </v>
      </c>
      <c r="C45" s="11">
        <f t="shared" si="1"/>
        <v>9</v>
      </c>
      <c r="D45" s="13">
        <v>9.0</v>
      </c>
      <c r="E45" s="11">
        <f t="shared" si="7"/>
        <v>0</v>
      </c>
      <c r="F45" s="14">
        <v>1182.6</v>
      </c>
      <c r="G45" s="15">
        <f t="shared" si="8"/>
        <v>0</v>
      </c>
      <c r="H45" s="15">
        <v>5000.0</v>
      </c>
      <c r="I45" s="15">
        <f t="shared" si="9"/>
        <v>5000</v>
      </c>
      <c r="J45" s="16">
        <v>45877.0</v>
      </c>
      <c r="K45" s="12"/>
      <c r="L45" s="17" t="s">
        <v>146</v>
      </c>
      <c r="M45" s="15">
        <f t="shared" si="12"/>
        <v>5000</v>
      </c>
      <c r="N45" s="12"/>
      <c r="O45" s="12"/>
      <c r="P45" s="15">
        <f t="shared" si="11"/>
        <v>0</v>
      </c>
      <c r="Q45" s="15"/>
    </row>
    <row r="46" ht="22.5" customHeight="1">
      <c r="A46" s="11">
        <v>47.0</v>
      </c>
      <c r="B46" s="12" t="str">
        <f>Usuarios!B48 &amp; " " &amp; Usuarios!C48 &amp; " " &amp; Usuarios!D48
</f>
        <v>Pablo  Contreras </v>
      </c>
      <c r="C46" s="11">
        <f t="shared" si="1"/>
        <v>0</v>
      </c>
      <c r="D46" s="13"/>
      <c r="E46" s="11"/>
      <c r="F46" s="14"/>
      <c r="G46" s="15"/>
      <c r="H46" s="15"/>
      <c r="I46" s="15"/>
      <c r="J46" s="16">
        <v>45877.0</v>
      </c>
      <c r="K46" s="12"/>
      <c r="L46" s="17" t="s">
        <v>144</v>
      </c>
      <c r="M46" s="15">
        <f t="shared" si="12"/>
        <v>0</v>
      </c>
      <c r="N46" s="12"/>
      <c r="O46" s="12"/>
      <c r="P46" s="15">
        <f t="shared" si="11"/>
        <v>0</v>
      </c>
      <c r="Q46" s="15"/>
    </row>
    <row r="47" ht="22.5" customHeight="1">
      <c r="A47" s="11">
        <v>31.0</v>
      </c>
      <c r="B47" s="12" t="str">
        <f>Usuarios!B32 &amp; " " &amp; Usuarios!C32 &amp; " " &amp; Usuarios!D32
</f>
        <v>Patricia  Carcamo  Gonzales</v>
      </c>
      <c r="C47" s="11">
        <f t="shared" si="1"/>
        <v>195</v>
      </c>
      <c r="D47" s="13">
        <v>219.0</v>
      </c>
      <c r="E47" s="11">
        <f t="shared" ref="E47:E51" si="13">D47-C47</f>
        <v>24</v>
      </c>
      <c r="F47" s="14">
        <v>1182.6</v>
      </c>
      <c r="G47" s="15">
        <f t="shared" ref="G47:G57" si="14">E47*F47</f>
        <v>28382.4</v>
      </c>
      <c r="H47" s="15">
        <v>5000.0</v>
      </c>
      <c r="I47" s="15">
        <f t="shared" ref="I47:I57" si="15">E47*F47+H47</f>
        <v>33382.4</v>
      </c>
      <c r="J47" s="16">
        <v>45877.0</v>
      </c>
      <c r="K47" s="12"/>
      <c r="L47" s="17" t="s">
        <v>146</v>
      </c>
      <c r="M47" s="15">
        <f t="shared" si="12"/>
        <v>33382.4</v>
      </c>
      <c r="N47" s="12"/>
      <c r="O47" s="12"/>
      <c r="P47" s="15">
        <f t="shared" si="11"/>
        <v>0</v>
      </c>
      <c r="Q47" s="15"/>
    </row>
    <row r="48" ht="22.5" customHeight="1">
      <c r="A48" s="11">
        <v>37.0</v>
      </c>
      <c r="B48" s="12" t="str">
        <f>Usuarios!B38 &amp; " " &amp; Usuarios!C38 &amp; " " &amp; Usuarios!D38
</f>
        <v>Patricio Alvarez Mancilla</v>
      </c>
      <c r="C48" s="11">
        <f t="shared" si="1"/>
        <v>0</v>
      </c>
      <c r="D48" s="13">
        <v>0.0</v>
      </c>
      <c r="E48" s="11">
        <f t="shared" si="13"/>
        <v>0</v>
      </c>
      <c r="F48" s="14">
        <v>1182.6</v>
      </c>
      <c r="G48" s="15">
        <f t="shared" si="14"/>
        <v>0</v>
      </c>
      <c r="H48" s="15">
        <v>5000.0</v>
      </c>
      <c r="I48" s="15">
        <f t="shared" si="15"/>
        <v>5000</v>
      </c>
      <c r="J48" s="16">
        <v>45877.0</v>
      </c>
      <c r="K48" s="12"/>
      <c r="L48" s="17" t="s">
        <v>146</v>
      </c>
      <c r="M48" s="15">
        <f t="shared" si="12"/>
        <v>5000</v>
      </c>
      <c r="N48" s="12"/>
      <c r="O48" s="12"/>
      <c r="P48" s="15">
        <f t="shared" si="11"/>
        <v>0</v>
      </c>
      <c r="Q48" s="15"/>
    </row>
    <row r="49" ht="22.5" customHeight="1">
      <c r="A49" s="11">
        <v>27.0</v>
      </c>
      <c r="B49" s="12" t="str">
        <f>Usuarios!B28 &amp; " " &amp; Usuarios!C28 &amp; " " &amp; Usuarios!D28
</f>
        <v>Pedro  Almonacid </v>
      </c>
      <c r="C49" s="11">
        <f t="shared" si="1"/>
        <v>236</v>
      </c>
      <c r="D49" s="13">
        <v>250.0</v>
      </c>
      <c r="E49" s="11">
        <f t="shared" si="13"/>
        <v>14</v>
      </c>
      <c r="F49" s="14">
        <v>1182.6</v>
      </c>
      <c r="G49" s="15">
        <f t="shared" si="14"/>
        <v>16556.4</v>
      </c>
      <c r="H49" s="15">
        <v>5000.0</v>
      </c>
      <c r="I49" s="15">
        <f t="shared" si="15"/>
        <v>21556.4</v>
      </c>
      <c r="J49" s="16">
        <v>45877.0</v>
      </c>
      <c r="K49" s="12"/>
      <c r="L49" s="17" t="s">
        <v>143</v>
      </c>
      <c r="M49" s="15">
        <f t="shared" si="12"/>
        <v>0</v>
      </c>
      <c r="N49" s="12"/>
      <c r="O49" s="12"/>
      <c r="P49" s="15">
        <f t="shared" si="11"/>
        <v>21556.4</v>
      </c>
      <c r="Q49" s="15"/>
    </row>
    <row r="50" ht="22.5" customHeight="1">
      <c r="A50" s="11">
        <v>12.0</v>
      </c>
      <c r="B50" s="12" t="str">
        <f>Usuarios!B13 &amp; " " &amp; Usuarios!C13 &amp; " " &amp; Usuarios!D13
</f>
        <v>Pedro  Contreras </v>
      </c>
      <c r="C50" s="11">
        <f t="shared" si="1"/>
        <v>129</v>
      </c>
      <c r="D50" s="13">
        <v>137.0</v>
      </c>
      <c r="E50" s="11">
        <f t="shared" si="13"/>
        <v>8</v>
      </c>
      <c r="F50" s="14">
        <v>1182.6</v>
      </c>
      <c r="G50" s="15">
        <f t="shared" si="14"/>
        <v>9460.8</v>
      </c>
      <c r="H50" s="15">
        <v>5000.0</v>
      </c>
      <c r="I50" s="15">
        <f t="shared" si="15"/>
        <v>14460.8</v>
      </c>
      <c r="J50" s="16">
        <v>45877.0</v>
      </c>
      <c r="K50" s="12"/>
      <c r="L50" s="17" t="s">
        <v>146</v>
      </c>
      <c r="M50" s="15">
        <f t="shared" si="12"/>
        <v>14460.8</v>
      </c>
      <c r="N50" s="12"/>
      <c r="O50" s="12"/>
      <c r="P50" s="15">
        <f t="shared" si="11"/>
        <v>0</v>
      </c>
      <c r="Q50" s="15"/>
    </row>
    <row r="51" ht="22.5" customHeight="1">
      <c r="A51" s="11">
        <v>43.0</v>
      </c>
      <c r="B51" s="12" t="str">
        <f>Usuarios!B44 &amp; " " &amp; Usuarios!C44 &amp; " " &amp; Usuarios!D44
</f>
        <v>Ramon  Maldonado </v>
      </c>
      <c r="C51" s="11">
        <f t="shared" si="1"/>
        <v>0</v>
      </c>
      <c r="D51" s="13">
        <v>0.0</v>
      </c>
      <c r="E51" s="11">
        <f t="shared" si="13"/>
        <v>0</v>
      </c>
      <c r="F51" s="14">
        <v>1182.6</v>
      </c>
      <c r="G51" s="15">
        <f t="shared" si="14"/>
        <v>0</v>
      </c>
      <c r="H51" s="15">
        <v>5000.0</v>
      </c>
      <c r="I51" s="15">
        <f t="shared" si="15"/>
        <v>5000</v>
      </c>
      <c r="J51" s="16">
        <v>45877.0</v>
      </c>
      <c r="K51" s="12"/>
      <c r="L51" s="17" t="s">
        <v>146</v>
      </c>
      <c r="M51" s="15">
        <f t="shared" si="12"/>
        <v>5000</v>
      </c>
      <c r="N51" s="12"/>
      <c r="O51" s="12" t="s">
        <v>147</v>
      </c>
      <c r="P51" s="15">
        <f t="shared" si="11"/>
        <v>0</v>
      </c>
      <c r="Q51" s="15"/>
    </row>
    <row r="52" ht="22.5" customHeight="1">
      <c r="A52" s="11">
        <v>14.0</v>
      </c>
      <c r="B52" s="12" t="str">
        <f>Usuarios!B15 &amp; " " &amp; Usuarios!C15 &amp; " " &amp; Usuarios!D15
</f>
        <v>Ramona  Mansilla </v>
      </c>
      <c r="C52" s="11">
        <f t="shared" si="1"/>
        <v>56</v>
      </c>
      <c r="D52" s="13">
        <v>59.0</v>
      </c>
      <c r="E52" s="37">
        <v>0.0</v>
      </c>
      <c r="F52" s="14">
        <v>1182.6</v>
      </c>
      <c r="G52" s="15">
        <f t="shared" si="14"/>
        <v>0</v>
      </c>
      <c r="H52" s="15">
        <v>5000.0</v>
      </c>
      <c r="I52" s="15">
        <f t="shared" si="15"/>
        <v>5000</v>
      </c>
      <c r="J52" s="16">
        <v>45877.0</v>
      </c>
      <c r="K52" s="12"/>
      <c r="L52" s="17" t="s">
        <v>146</v>
      </c>
      <c r="M52" s="15">
        <f t="shared" si="12"/>
        <v>5000</v>
      </c>
      <c r="N52" s="12"/>
      <c r="O52" s="12"/>
      <c r="P52" s="15">
        <f t="shared" si="11"/>
        <v>0</v>
      </c>
      <c r="Q52" s="15"/>
    </row>
    <row r="53" ht="22.5" customHeight="1">
      <c r="A53" s="11">
        <v>54.0</v>
      </c>
      <c r="B53" s="12" t="str">
        <f>Usuarios!B55 &amp; " " &amp; Usuarios!C55 &amp; " " &amp; Usuarios!D55
</f>
        <v>Rosa  Mancilla </v>
      </c>
      <c r="C53" s="11">
        <f t="shared" si="1"/>
        <v>106</v>
      </c>
      <c r="D53" s="13">
        <v>106.0</v>
      </c>
      <c r="E53" s="11">
        <f t="shared" ref="E53:E57" si="16">D53-C53</f>
        <v>0</v>
      </c>
      <c r="F53" s="14">
        <v>1182.6</v>
      </c>
      <c r="G53" s="15">
        <f t="shared" si="14"/>
        <v>0</v>
      </c>
      <c r="H53" s="15">
        <v>5000.0</v>
      </c>
      <c r="I53" s="15">
        <f t="shared" si="15"/>
        <v>5000</v>
      </c>
      <c r="J53" s="16">
        <v>45877.0</v>
      </c>
      <c r="K53" s="12"/>
      <c r="L53" s="17" t="s">
        <v>146</v>
      </c>
      <c r="M53" s="15">
        <f t="shared" si="12"/>
        <v>5000</v>
      </c>
      <c r="N53" s="12"/>
      <c r="O53" s="12"/>
      <c r="P53" s="15">
        <f t="shared" si="11"/>
        <v>0</v>
      </c>
      <c r="Q53" s="15"/>
    </row>
    <row r="54" ht="22.5" customHeight="1">
      <c r="A54" s="11">
        <v>49.0</v>
      </c>
      <c r="B54" s="12" t="str">
        <f>Usuarios!B50 &amp; " " &amp; Usuarios!C50 &amp; " " &amp; Usuarios!D50
</f>
        <v>Rosa  Nuñez </v>
      </c>
      <c r="C54" s="11">
        <f t="shared" si="1"/>
        <v>89</v>
      </c>
      <c r="D54" s="13">
        <v>95.0</v>
      </c>
      <c r="E54" s="11">
        <f t="shared" si="16"/>
        <v>6</v>
      </c>
      <c r="F54" s="14">
        <v>1182.6</v>
      </c>
      <c r="G54" s="15">
        <f t="shared" si="14"/>
        <v>7095.6</v>
      </c>
      <c r="H54" s="15">
        <v>5000.0</v>
      </c>
      <c r="I54" s="15">
        <f t="shared" si="15"/>
        <v>12095.6</v>
      </c>
      <c r="J54" s="16">
        <v>45877.0</v>
      </c>
      <c r="K54" s="12"/>
      <c r="L54" s="17" t="s">
        <v>143</v>
      </c>
      <c r="M54" s="15">
        <f t="shared" si="12"/>
        <v>0</v>
      </c>
      <c r="N54" s="12"/>
      <c r="O54" s="12"/>
      <c r="P54" s="15">
        <f t="shared" si="11"/>
        <v>12095.6</v>
      </c>
      <c r="Q54" s="15"/>
    </row>
    <row r="55" ht="22.5" customHeight="1">
      <c r="A55" s="11">
        <v>15.0</v>
      </c>
      <c r="B55" s="12" t="str">
        <f>Usuarios!B16 &amp; " " &amp; Usuarios!C16 &amp; " " &amp; Usuarios!D16
</f>
        <v>Sandra Mancilla  Merino</v>
      </c>
      <c r="C55" s="11">
        <f t="shared" si="1"/>
        <v>165</v>
      </c>
      <c r="D55" s="13">
        <v>172.0</v>
      </c>
      <c r="E55" s="11">
        <f t="shared" si="16"/>
        <v>7</v>
      </c>
      <c r="F55" s="14">
        <v>1182.6</v>
      </c>
      <c r="G55" s="15">
        <f t="shared" si="14"/>
        <v>8278.2</v>
      </c>
      <c r="H55" s="15">
        <v>5000.0</v>
      </c>
      <c r="I55" s="15">
        <f t="shared" si="15"/>
        <v>13278.2</v>
      </c>
      <c r="J55" s="16">
        <v>45877.0</v>
      </c>
      <c r="K55" s="12"/>
      <c r="L55" s="17" t="s">
        <v>146</v>
      </c>
      <c r="M55" s="15">
        <f t="shared" si="12"/>
        <v>13278.2</v>
      </c>
      <c r="N55" s="12"/>
      <c r="O55" s="12"/>
      <c r="P55" s="15">
        <f t="shared" si="11"/>
        <v>0</v>
      </c>
      <c r="Q55" s="15"/>
    </row>
    <row r="56" ht="22.5" customHeight="1">
      <c r="A56" s="11">
        <v>34.0</v>
      </c>
      <c r="B56" s="12" t="str">
        <f>Usuarios!B35 &amp; " " &amp; Usuarios!C35 &amp; " " &amp; Usuarios!D35
</f>
        <v>Vanesa  Aguilar </v>
      </c>
      <c r="C56" s="11">
        <f t="shared" si="1"/>
        <v>572</v>
      </c>
      <c r="D56" s="13">
        <v>591.0</v>
      </c>
      <c r="E56" s="11">
        <f t="shared" si="16"/>
        <v>19</v>
      </c>
      <c r="F56" s="14">
        <v>1182.6</v>
      </c>
      <c r="G56" s="15">
        <f t="shared" si="14"/>
        <v>22469.4</v>
      </c>
      <c r="H56" s="15">
        <v>5000.0</v>
      </c>
      <c r="I56" s="15">
        <f t="shared" si="15"/>
        <v>27469.4</v>
      </c>
      <c r="J56" s="16">
        <v>45877.0</v>
      </c>
      <c r="K56" s="12"/>
      <c r="L56" s="17" t="s">
        <v>146</v>
      </c>
      <c r="M56" s="15">
        <f t="shared" si="12"/>
        <v>27469.4</v>
      </c>
      <c r="N56" s="12"/>
      <c r="O56" s="12"/>
      <c r="P56" s="15">
        <f t="shared" si="11"/>
        <v>0</v>
      </c>
      <c r="Q56" s="15"/>
    </row>
    <row r="57" ht="22.5" customHeight="1">
      <c r="A57" s="11">
        <v>22.0</v>
      </c>
      <c r="B57" s="12" t="str">
        <f>Usuarios!B23 &amp; " " &amp; Usuarios!C23 &amp; " " &amp; Usuarios!D23
</f>
        <v>Yuri  Millaquen </v>
      </c>
      <c r="C57" s="11">
        <f t="shared" si="1"/>
        <v>185</v>
      </c>
      <c r="D57" s="13">
        <v>197.0</v>
      </c>
      <c r="E57" s="11">
        <f t="shared" si="16"/>
        <v>12</v>
      </c>
      <c r="F57" s="14">
        <v>1182.6</v>
      </c>
      <c r="G57" s="15">
        <f t="shared" si="14"/>
        <v>14191.2</v>
      </c>
      <c r="H57" s="15">
        <v>5000.0</v>
      </c>
      <c r="I57" s="15">
        <f t="shared" si="15"/>
        <v>19191.2</v>
      </c>
      <c r="J57" s="16">
        <v>45877.0</v>
      </c>
      <c r="K57" s="12"/>
      <c r="L57" s="17" t="s">
        <v>146</v>
      </c>
      <c r="M57" s="15">
        <f t="shared" si="12"/>
        <v>19191.2</v>
      </c>
      <c r="N57" s="12"/>
      <c r="O57" s="12"/>
      <c r="P57" s="15">
        <f t="shared" si="11"/>
        <v>0</v>
      </c>
      <c r="Q57" s="15"/>
    </row>
    <row r="58" ht="22.5" customHeight="1">
      <c r="A58" s="20"/>
      <c r="B58" s="34"/>
      <c r="C58" s="20"/>
      <c r="D58" s="20"/>
      <c r="E58" s="20"/>
      <c r="F58" s="21"/>
      <c r="G58" s="22"/>
      <c r="H58" s="22"/>
      <c r="I58" s="22"/>
      <c r="J58" s="25"/>
      <c r="K58" s="25"/>
      <c r="L58" s="24"/>
      <c r="M58" s="22"/>
      <c r="N58" s="25"/>
      <c r="O58" s="25"/>
      <c r="P58" s="22"/>
      <c r="Q58" s="22"/>
    </row>
  </sheetData>
  <conditionalFormatting sqref="L2:L58">
    <cfRule type="containsText" dxfId="6" priority="1" operator="containsText" text="PENDIENTE">
      <formula>NOT(ISERROR(SEARCH(("PENDIENTE"),(L2))))</formula>
    </cfRule>
  </conditionalFormatting>
  <conditionalFormatting sqref="L2:L58">
    <cfRule type="containsText" dxfId="7" priority="2" operator="containsText" text="PAGADO">
      <formula>NOT(ISERROR(SEARCH(("PAGADO"),(L2))))</formula>
    </cfRule>
  </conditionalFormatting>
  <conditionalFormatting sqref="A2:Q58">
    <cfRule type="containsText" dxfId="8" priority="3" operator="containsText" text="NO APLICA">
      <formula>NOT(ISERROR(SEARCH(("NO APLICA"),(A2))))</formula>
    </cfRule>
  </conditionalFormatting>
  <conditionalFormatting sqref="A2:P58 Q58">
    <cfRule type="containsText" dxfId="8" priority="4" operator="containsText" text="NO APLICA">
      <formula>NOT(ISERROR(SEARCH(("NO APLICA"),(A2))))</formula>
    </cfRule>
  </conditionalFormatting>
  <conditionalFormatting sqref="L33">
    <cfRule type="containsText" dxfId="5" priority="5" operator="containsText" text="PARCIAL">
      <formula>NOT(ISERROR(SEARCH(("PARCIAL"),(L33))))</formula>
    </cfRule>
  </conditionalFormatting>
  <dataValidations>
    <dataValidation type="list" allowBlank="1" sqref="O2:O57">
      <formula1>"EFECTIVO,TRANSFERENCIA,CHEQUE,TARJETA"</formula1>
    </dataValidation>
    <dataValidation type="custom" allowBlank="1" showDropDown="1" sqref="A2:A58 C2:I58 M2:M58 P2:P58">
      <formula1>AND(ISNUMBER(A2),(NOT(OR(NOT(ISERROR(DATEVALUE(A2))), AND(ISNUMBER(A2), LEFT(CELL("format", A2))="D")))))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  <col customWidth="1" min="3" max="3" width="29.29"/>
    <col customWidth="1" min="4" max="4" width="23.0"/>
    <col customWidth="1" min="5" max="5" width="22.0"/>
    <col customWidth="1" min="6" max="6" width="16.14"/>
    <col customWidth="1" min="7" max="7" width="26.57"/>
    <col customWidth="1" min="8" max="8" width="15.71"/>
    <col customWidth="1" min="9" max="9" width="21.71"/>
    <col customWidth="1" min="10" max="10" width="28.29"/>
    <col customWidth="1" min="11" max="11" width="18.86"/>
    <col customWidth="1" min="12" max="12" width="21.14"/>
    <col customWidth="1" min="13" max="13" width="38.71"/>
    <col customWidth="1" min="14" max="14" width="21.71"/>
    <col customWidth="1" min="15" max="15" width="18.0"/>
    <col customWidth="1" min="16" max="16" width="25.86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11">
        <v>41.0</v>
      </c>
      <c r="B2" s="12" t="str">
        <f>Usuarios!B42 &amp; " " &amp; Usuarios!C42 &amp; " " &amp; Usuarios!D42
</f>
        <v>Astrid  Gomez </v>
      </c>
      <c r="C2" s="11">
        <f t="shared" ref="C2:C57" si="1">INDEX(INDIRECT("'" &amp; TEXT(EDATE(J2,-2),"mm-yyyy") &amp; "'!D:D"),
   MATCH(A2,INDIRECT("'" &amp; TEXT(EDATE(J2,-2),"mm-yyyy") &amp; "'!A:A"),0))
</f>
        <v>115</v>
      </c>
      <c r="D2" s="13">
        <v>120.0</v>
      </c>
      <c r="E2" s="11">
        <f t="shared" ref="E2:E16" si="2">D2-C2</f>
        <v>5</v>
      </c>
      <c r="F2" s="11">
        <v>1182.6</v>
      </c>
      <c r="G2" s="15">
        <f t="shared" ref="G2:G16" si="3">E2*F2</f>
        <v>5913</v>
      </c>
      <c r="H2" s="11">
        <v>5000.0</v>
      </c>
      <c r="I2" s="15">
        <f t="shared" ref="I2:I16" si="4">E2*F2+H2</f>
        <v>10913</v>
      </c>
      <c r="J2" s="16">
        <v>45908.0</v>
      </c>
      <c r="K2" s="17" t="s">
        <v>149</v>
      </c>
      <c r="L2" s="17" t="s">
        <v>143</v>
      </c>
      <c r="M2" s="15">
        <f t="shared" ref="M2:M16" si="5">IF(L2="Pagado", I2, 0)</f>
        <v>0</v>
      </c>
      <c r="N2" s="12"/>
      <c r="O2" s="12"/>
      <c r="P2" s="15">
        <f t="shared" ref="P2:P16" si="6">IF(L2="NO APLICA",0, (I2-M2))</f>
        <v>10913</v>
      </c>
      <c r="Q2" s="15"/>
    </row>
    <row r="3" ht="22.5" customHeight="1">
      <c r="A3" s="11">
        <v>16.0</v>
      </c>
      <c r="B3" s="12" t="str">
        <f>Usuarios!B17 &amp; " " &amp; Usuarios!C17 &amp; " " &amp; Usuarios!D17
</f>
        <v>Carlos  Agüero </v>
      </c>
      <c r="C3" s="11">
        <f t="shared" si="1"/>
        <v>224</v>
      </c>
      <c r="D3" s="13">
        <v>238.0</v>
      </c>
      <c r="E3" s="11">
        <f t="shared" si="2"/>
        <v>14</v>
      </c>
      <c r="F3" s="11">
        <v>1182.6</v>
      </c>
      <c r="G3" s="15">
        <f t="shared" si="3"/>
        <v>16556.4</v>
      </c>
      <c r="H3" s="11">
        <v>5000.0</v>
      </c>
      <c r="I3" s="15">
        <f t="shared" si="4"/>
        <v>21556.4</v>
      </c>
      <c r="J3" s="16">
        <v>45908.0</v>
      </c>
      <c r="K3" s="17" t="s">
        <v>149</v>
      </c>
      <c r="L3" s="17" t="s">
        <v>143</v>
      </c>
      <c r="M3" s="15">
        <f t="shared" si="5"/>
        <v>0</v>
      </c>
      <c r="N3" s="12"/>
      <c r="O3" s="12"/>
      <c r="P3" s="15">
        <f t="shared" si="6"/>
        <v>21556.4</v>
      </c>
      <c r="Q3" s="15"/>
    </row>
    <row r="4" ht="22.5" customHeight="1">
      <c r="A4" s="11">
        <v>13.0</v>
      </c>
      <c r="B4" s="12" t="str">
        <f>Usuarios!B14 &amp; " " &amp; Usuarios!C14 &amp; " " &amp; Usuarios!D14
</f>
        <v>Carlos  Gamin </v>
      </c>
      <c r="C4" s="11">
        <f t="shared" si="1"/>
        <v>221</v>
      </c>
      <c r="D4" s="13">
        <v>232.0</v>
      </c>
      <c r="E4" s="11">
        <f t="shared" si="2"/>
        <v>11</v>
      </c>
      <c r="F4" s="11">
        <v>1182.6</v>
      </c>
      <c r="G4" s="15">
        <f t="shared" si="3"/>
        <v>13008.6</v>
      </c>
      <c r="H4" s="11">
        <v>5000.0</v>
      </c>
      <c r="I4" s="15">
        <f t="shared" si="4"/>
        <v>18008.6</v>
      </c>
      <c r="J4" s="16">
        <v>45908.0</v>
      </c>
      <c r="K4" s="17" t="s">
        <v>149</v>
      </c>
      <c r="L4" s="17" t="s">
        <v>143</v>
      </c>
      <c r="M4" s="15">
        <f t="shared" si="5"/>
        <v>0</v>
      </c>
      <c r="N4" s="12"/>
      <c r="O4" s="12"/>
      <c r="P4" s="15">
        <f t="shared" si="6"/>
        <v>18008.6</v>
      </c>
      <c r="Q4" s="15"/>
    </row>
    <row r="5" ht="22.5" customHeight="1">
      <c r="A5" s="11">
        <v>23.0</v>
      </c>
      <c r="B5" s="12" t="str">
        <f>Usuarios!B24 &amp; " " &amp; Usuarios!C24 &amp; " " &amp; Usuarios!D24
</f>
        <v>Carlos  Nahuelpan </v>
      </c>
      <c r="C5" s="11">
        <f t="shared" si="1"/>
        <v>127</v>
      </c>
      <c r="D5" s="13">
        <v>135.0</v>
      </c>
      <c r="E5" s="11">
        <f t="shared" si="2"/>
        <v>8</v>
      </c>
      <c r="F5" s="11">
        <v>1182.6</v>
      </c>
      <c r="G5" s="15">
        <f t="shared" si="3"/>
        <v>9460.8</v>
      </c>
      <c r="H5" s="11">
        <v>5000.0</v>
      </c>
      <c r="I5" s="15">
        <f t="shared" si="4"/>
        <v>14460.8</v>
      </c>
      <c r="J5" s="16">
        <v>45908.0</v>
      </c>
      <c r="K5" s="17" t="s">
        <v>149</v>
      </c>
      <c r="L5" s="17" t="s">
        <v>143</v>
      </c>
      <c r="M5" s="15">
        <f t="shared" si="5"/>
        <v>0</v>
      </c>
      <c r="N5" s="12"/>
      <c r="O5" s="12"/>
      <c r="P5" s="15">
        <f t="shared" si="6"/>
        <v>14460.8</v>
      </c>
      <c r="Q5" s="15"/>
    </row>
    <row r="6" ht="22.5" customHeight="1">
      <c r="A6" s="11">
        <v>4.0</v>
      </c>
      <c r="B6" s="12" t="str">
        <f>Usuarios!B5 &amp; " " &amp; Usuarios!C5 &amp; " " &amp; Usuarios!D5
</f>
        <v>Cristian  Oyarzo </v>
      </c>
      <c r="C6" s="11">
        <f t="shared" si="1"/>
        <v>615</v>
      </c>
      <c r="D6" s="13">
        <v>654.0</v>
      </c>
      <c r="E6" s="11">
        <f t="shared" si="2"/>
        <v>39</v>
      </c>
      <c r="F6" s="11">
        <v>1182.6</v>
      </c>
      <c r="G6" s="15">
        <f t="shared" si="3"/>
        <v>46121.4</v>
      </c>
      <c r="H6" s="11">
        <v>5000.0</v>
      </c>
      <c r="I6" s="15">
        <f t="shared" si="4"/>
        <v>51121.4</v>
      </c>
      <c r="J6" s="16">
        <v>45908.0</v>
      </c>
      <c r="K6" s="17" t="s">
        <v>149</v>
      </c>
      <c r="L6" s="17" t="s">
        <v>143</v>
      </c>
      <c r="M6" s="15">
        <f t="shared" si="5"/>
        <v>0</v>
      </c>
      <c r="N6" s="12"/>
      <c r="O6" s="12"/>
      <c r="P6" s="15">
        <f t="shared" si="6"/>
        <v>51121.4</v>
      </c>
      <c r="Q6" s="15"/>
    </row>
    <row r="7" ht="22.5" customHeight="1">
      <c r="A7" s="11">
        <v>36.0</v>
      </c>
      <c r="B7" s="12" t="str">
        <f>Usuarios!B37 &amp; " " &amp; Usuarios!C37 &amp; " " &amp; Usuarios!D37
</f>
        <v>Danilo  Soto  Soto</v>
      </c>
      <c r="C7" s="11">
        <f t="shared" si="1"/>
        <v>0</v>
      </c>
      <c r="D7" s="13">
        <v>0.0</v>
      </c>
      <c r="E7" s="11">
        <f t="shared" si="2"/>
        <v>0</v>
      </c>
      <c r="F7" s="11">
        <v>1182.6</v>
      </c>
      <c r="G7" s="15">
        <f t="shared" si="3"/>
        <v>0</v>
      </c>
      <c r="H7" s="11">
        <v>5000.0</v>
      </c>
      <c r="I7" s="15">
        <f t="shared" si="4"/>
        <v>5000</v>
      </c>
      <c r="J7" s="16">
        <v>45908.0</v>
      </c>
      <c r="K7" s="17" t="s">
        <v>149</v>
      </c>
      <c r="L7" s="17" t="s">
        <v>143</v>
      </c>
      <c r="M7" s="15">
        <f t="shared" si="5"/>
        <v>0</v>
      </c>
      <c r="N7" s="12"/>
      <c r="O7" s="12"/>
      <c r="P7" s="15">
        <f t="shared" si="6"/>
        <v>5000</v>
      </c>
      <c r="Q7" s="15"/>
      <c r="R7" s="18"/>
    </row>
    <row r="8" ht="22.5" customHeight="1">
      <c r="A8" s="11">
        <v>10.0</v>
      </c>
      <c r="B8" s="12" t="str">
        <f>Usuarios!B11 &amp; " " &amp; Usuarios!C11 &amp; " " &amp; Usuarios!D11
</f>
        <v>David  Cartes </v>
      </c>
      <c r="C8" s="11">
        <f t="shared" si="1"/>
        <v>150</v>
      </c>
      <c r="D8" s="13">
        <v>161.0</v>
      </c>
      <c r="E8" s="11">
        <f t="shared" si="2"/>
        <v>11</v>
      </c>
      <c r="F8" s="11">
        <v>1182.6</v>
      </c>
      <c r="G8" s="15">
        <f t="shared" si="3"/>
        <v>13008.6</v>
      </c>
      <c r="H8" s="11">
        <v>5000.0</v>
      </c>
      <c r="I8" s="15">
        <f t="shared" si="4"/>
        <v>18008.6</v>
      </c>
      <c r="J8" s="16">
        <v>45908.0</v>
      </c>
      <c r="K8" s="17" t="s">
        <v>149</v>
      </c>
      <c r="L8" s="17" t="s">
        <v>143</v>
      </c>
      <c r="M8" s="15">
        <f t="shared" si="5"/>
        <v>0</v>
      </c>
      <c r="N8" s="12"/>
      <c r="O8" s="12"/>
      <c r="P8" s="15">
        <f t="shared" si="6"/>
        <v>18008.6</v>
      </c>
      <c r="Q8" s="15"/>
    </row>
    <row r="9" ht="22.5" customHeight="1">
      <c r="A9" s="11">
        <v>19.0</v>
      </c>
      <c r="B9" s="12" t="str">
        <f>Usuarios!B20 &amp; " " &amp; Usuarios!C20 &amp; " " &amp; Usuarios!D20
</f>
        <v>Eduardo  Chavez </v>
      </c>
      <c r="C9" s="11">
        <f t="shared" si="1"/>
        <v>110</v>
      </c>
      <c r="D9" s="13">
        <v>117.0</v>
      </c>
      <c r="E9" s="11">
        <f t="shared" si="2"/>
        <v>7</v>
      </c>
      <c r="F9" s="11">
        <v>1182.6</v>
      </c>
      <c r="G9" s="15">
        <f t="shared" si="3"/>
        <v>8278.2</v>
      </c>
      <c r="H9" s="11">
        <v>5000.0</v>
      </c>
      <c r="I9" s="15">
        <f t="shared" si="4"/>
        <v>13278.2</v>
      </c>
      <c r="J9" s="16">
        <v>45908.0</v>
      </c>
      <c r="K9" s="17" t="s">
        <v>149</v>
      </c>
      <c r="L9" s="17" t="s">
        <v>146</v>
      </c>
      <c r="M9" s="15">
        <f t="shared" si="5"/>
        <v>13278.2</v>
      </c>
      <c r="N9" s="12"/>
      <c r="O9" s="12"/>
      <c r="P9" s="15">
        <f t="shared" si="6"/>
        <v>0</v>
      </c>
      <c r="Q9" s="15"/>
    </row>
    <row r="10" ht="22.5" customHeight="1">
      <c r="A10" s="11">
        <v>52.0</v>
      </c>
      <c r="B10" s="12" t="str">
        <f>Usuarios!B53 &amp; " " &amp; Usuarios!C53 &amp; " " &amp; Usuarios!D53
</f>
        <v>Esteban  Oyarzo  Levil</v>
      </c>
      <c r="C10" s="11">
        <f t="shared" si="1"/>
        <v>0</v>
      </c>
      <c r="D10" s="13">
        <v>0.0</v>
      </c>
      <c r="E10" s="11">
        <f t="shared" si="2"/>
        <v>0</v>
      </c>
      <c r="F10" s="11">
        <v>1182.6</v>
      </c>
      <c r="G10" s="15">
        <f t="shared" si="3"/>
        <v>0</v>
      </c>
      <c r="H10" s="11">
        <v>5000.0</v>
      </c>
      <c r="I10" s="15">
        <f t="shared" si="4"/>
        <v>5000</v>
      </c>
      <c r="J10" s="16">
        <v>45908.0</v>
      </c>
      <c r="K10" s="17" t="s">
        <v>149</v>
      </c>
      <c r="L10" s="17" t="s">
        <v>143</v>
      </c>
      <c r="M10" s="15">
        <f t="shared" si="5"/>
        <v>0</v>
      </c>
      <c r="N10" s="12"/>
      <c r="O10" s="12"/>
      <c r="P10" s="15">
        <f t="shared" si="6"/>
        <v>5000</v>
      </c>
      <c r="Q10" s="15"/>
    </row>
    <row r="11" ht="22.5" customHeight="1">
      <c r="A11" s="11">
        <v>8.0</v>
      </c>
      <c r="B11" s="12" t="str">
        <f>Usuarios!B9 &amp; " " &amp; Usuarios!C9 &amp; " " &amp; Usuarios!D9
</f>
        <v>Gabriel  Farias </v>
      </c>
      <c r="C11" s="11">
        <f t="shared" si="1"/>
        <v>531</v>
      </c>
      <c r="D11" s="13">
        <v>573.0</v>
      </c>
      <c r="E11" s="11">
        <f t="shared" si="2"/>
        <v>42</v>
      </c>
      <c r="F11" s="11">
        <v>1182.6</v>
      </c>
      <c r="G11" s="15">
        <f t="shared" si="3"/>
        <v>49669.2</v>
      </c>
      <c r="H11" s="11">
        <v>5000.0</v>
      </c>
      <c r="I11" s="15">
        <f t="shared" si="4"/>
        <v>54669.2</v>
      </c>
      <c r="J11" s="16">
        <v>45908.0</v>
      </c>
      <c r="K11" s="17" t="s">
        <v>149</v>
      </c>
      <c r="L11" s="17" t="s">
        <v>143</v>
      </c>
      <c r="M11" s="15">
        <f t="shared" si="5"/>
        <v>0</v>
      </c>
      <c r="N11" s="12"/>
      <c r="O11" s="12"/>
      <c r="P11" s="15">
        <f t="shared" si="6"/>
        <v>54669.2</v>
      </c>
      <c r="Q11" s="15"/>
    </row>
    <row r="12" ht="22.5" customHeight="1">
      <c r="A12" s="11">
        <v>2.0</v>
      </c>
      <c r="B12" s="12" t="str">
        <f>Usuarios!B3 &amp; " " &amp; Usuarios!C3 &amp; " " &amp; Usuarios!D3
</f>
        <v>Gabriel Barria Zuñiga</v>
      </c>
      <c r="C12" s="11">
        <f t="shared" si="1"/>
        <v>372</v>
      </c>
      <c r="D12" s="13">
        <v>391.0</v>
      </c>
      <c r="E12" s="11">
        <f t="shared" si="2"/>
        <v>19</v>
      </c>
      <c r="F12" s="11">
        <v>1182.6</v>
      </c>
      <c r="G12" s="15">
        <f t="shared" si="3"/>
        <v>22469.4</v>
      </c>
      <c r="H12" s="11">
        <v>5000.0</v>
      </c>
      <c r="I12" s="15">
        <f t="shared" si="4"/>
        <v>27469.4</v>
      </c>
      <c r="J12" s="16">
        <v>45908.0</v>
      </c>
      <c r="K12" s="17" t="s">
        <v>149</v>
      </c>
      <c r="L12" s="17" t="s">
        <v>146</v>
      </c>
      <c r="M12" s="15">
        <f t="shared" si="5"/>
        <v>27469.4</v>
      </c>
      <c r="N12" s="16">
        <v>45932.0</v>
      </c>
      <c r="O12" s="36" t="s">
        <v>148</v>
      </c>
      <c r="P12" s="15">
        <f t="shared" si="6"/>
        <v>0</v>
      </c>
      <c r="Q12" s="15"/>
    </row>
    <row r="13" ht="22.5" customHeight="1">
      <c r="A13" s="11">
        <v>3.0</v>
      </c>
      <c r="B13" s="12" t="str">
        <f>Usuarios!B4 &amp; " " &amp; Usuarios!C4 &amp; " " &amp; Usuarios!D4
</f>
        <v>Gino  Reyes </v>
      </c>
      <c r="C13" s="11">
        <f t="shared" si="1"/>
        <v>3</v>
      </c>
      <c r="D13" s="13">
        <v>3.0</v>
      </c>
      <c r="E13" s="11">
        <f t="shared" si="2"/>
        <v>0</v>
      </c>
      <c r="F13" s="11">
        <v>1182.6</v>
      </c>
      <c r="G13" s="15">
        <f t="shared" si="3"/>
        <v>0</v>
      </c>
      <c r="H13" s="11">
        <v>5000.0</v>
      </c>
      <c r="I13" s="15">
        <f t="shared" si="4"/>
        <v>5000</v>
      </c>
      <c r="J13" s="16">
        <v>45908.0</v>
      </c>
      <c r="K13" s="17" t="s">
        <v>149</v>
      </c>
      <c r="L13" s="17" t="s">
        <v>143</v>
      </c>
      <c r="M13" s="15">
        <f t="shared" si="5"/>
        <v>0</v>
      </c>
      <c r="N13" s="12"/>
      <c r="O13" s="12"/>
      <c r="P13" s="15">
        <f t="shared" si="6"/>
        <v>5000</v>
      </c>
      <c r="Q13" s="15"/>
    </row>
    <row r="14" ht="22.5" customHeight="1">
      <c r="A14" s="11">
        <v>39.0</v>
      </c>
      <c r="B14" s="12" t="str">
        <f>Usuarios!B40 &amp; " " &amp; Usuarios!C40 &amp; " " &amp; Usuarios!D40
</f>
        <v>Gloria  Alvarez </v>
      </c>
      <c r="C14" s="11">
        <f t="shared" si="1"/>
        <v>14</v>
      </c>
      <c r="D14" s="13">
        <v>14.0</v>
      </c>
      <c r="E14" s="11">
        <f t="shared" si="2"/>
        <v>0</v>
      </c>
      <c r="F14" s="11">
        <v>1182.6</v>
      </c>
      <c r="G14" s="15">
        <f t="shared" si="3"/>
        <v>0</v>
      </c>
      <c r="H14" s="11">
        <v>5000.0</v>
      </c>
      <c r="I14" s="15">
        <f t="shared" si="4"/>
        <v>5000</v>
      </c>
      <c r="J14" s="16">
        <v>45908.0</v>
      </c>
      <c r="K14" s="17" t="s">
        <v>149</v>
      </c>
      <c r="L14" s="17" t="s">
        <v>143</v>
      </c>
      <c r="M14" s="15">
        <f t="shared" si="5"/>
        <v>0</v>
      </c>
      <c r="N14" s="12"/>
      <c r="O14" s="12"/>
      <c r="P14" s="15">
        <f t="shared" si="6"/>
        <v>5000</v>
      </c>
      <c r="Q14" s="15"/>
    </row>
    <row r="15" ht="22.5" customHeight="1">
      <c r="A15" s="11">
        <v>40.0</v>
      </c>
      <c r="B15" s="12" t="str">
        <f>Usuarios!B41 &amp; " " &amp; Usuarios!C41 &amp; " " &amp; Usuarios!D41
</f>
        <v>Gloria  Levil </v>
      </c>
      <c r="C15" s="11">
        <f t="shared" si="1"/>
        <v>99</v>
      </c>
      <c r="D15" s="13">
        <v>99.0</v>
      </c>
      <c r="E15" s="11">
        <f t="shared" si="2"/>
        <v>0</v>
      </c>
      <c r="F15" s="11">
        <v>1182.6</v>
      </c>
      <c r="G15" s="15">
        <f t="shared" si="3"/>
        <v>0</v>
      </c>
      <c r="H15" s="11">
        <v>5000.0</v>
      </c>
      <c r="I15" s="15">
        <f t="shared" si="4"/>
        <v>5000</v>
      </c>
      <c r="J15" s="16">
        <v>45908.0</v>
      </c>
      <c r="K15" s="17" t="s">
        <v>149</v>
      </c>
      <c r="L15" s="17" t="s">
        <v>143</v>
      </c>
      <c r="M15" s="15">
        <f t="shared" si="5"/>
        <v>0</v>
      </c>
      <c r="N15" s="12"/>
      <c r="O15" s="12"/>
      <c r="P15" s="15">
        <f t="shared" si="6"/>
        <v>5000</v>
      </c>
      <c r="Q15" s="15"/>
    </row>
    <row r="16" ht="22.5" customHeight="1">
      <c r="A16" s="11">
        <v>50.0</v>
      </c>
      <c r="B16" s="12" t="str">
        <f>Usuarios!B51 &amp; " " &amp; Usuarios!C51 &amp; " " &amp; Usuarios!D51
</f>
        <v>Gloria Isamar  Velasquez  Almonacid</v>
      </c>
      <c r="C16" s="11">
        <f t="shared" si="1"/>
        <v>66</v>
      </c>
      <c r="D16" s="13">
        <v>76.0</v>
      </c>
      <c r="E16" s="11">
        <f t="shared" si="2"/>
        <v>10</v>
      </c>
      <c r="F16" s="11">
        <v>1182.6</v>
      </c>
      <c r="G16" s="15">
        <f t="shared" si="3"/>
        <v>11826</v>
      </c>
      <c r="H16" s="11">
        <v>5000.0</v>
      </c>
      <c r="I16" s="15">
        <f t="shared" si="4"/>
        <v>16826</v>
      </c>
      <c r="J16" s="16">
        <v>45908.0</v>
      </c>
      <c r="K16" s="17" t="s">
        <v>149</v>
      </c>
      <c r="L16" s="17" t="s">
        <v>143</v>
      </c>
      <c r="M16" s="15">
        <f t="shared" si="5"/>
        <v>0</v>
      </c>
      <c r="N16" s="12"/>
      <c r="O16" s="12"/>
      <c r="P16" s="15">
        <f t="shared" si="6"/>
        <v>16826</v>
      </c>
      <c r="Q16" s="15"/>
    </row>
    <row r="17" ht="22.5" customHeight="1">
      <c r="A17" s="11">
        <v>26.0</v>
      </c>
      <c r="B17" s="12" t="str">
        <f>Usuarios!B27 &amp; " " &amp; Usuarios!C27 &amp; " " &amp; Usuarios!D27
</f>
        <v>Guido  Quintuy </v>
      </c>
      <c r="C17" s="11" t="str">
        <f t="shared" si="1"/>
        <v/>
      </c>
      <c r="D17" s="13"/>
      <c r="E17" s="11"/>
      <c r="F17" s="11"/>
      <c r="G17" s="15"/>
      <c r="H17" s="11"/>
      <c r="I17" s="15"/>
      <c r="J17" s="16">
        <v>45908.0</v>
      </c>
      <c r="K17" s="17" t="s">
        <v>149</v>
      </c>
      <c r="L17" s="17" t="s">
        <v>144</v>
      </c>
      <c r="M17" s="15"/>
      <c r="N17" s="12"/>
      <c r="O17" s="12"/>
      <c r="P17" s="15"/>
      <c r="Q17" s="15"/>
    </row>
    <row r="18" ht="22.5" customHeight="1">
      <c r="A18" s="11">
        <v>55.0</v>
      </c>
      <c r="B18" s="12" t="str">
        <f>Usuarios!B56 &amp; " " &amp; Usuarios!C56 &amp; " " &amp; Usuarios!D56
</f>
        <v>Guido  Quintuy - Sitio vacío </v>
      </c>
      <c r="C18" s="11">
        <f t="shared" si="1"/>
        <v>0</v>
      </c>
      <c r="D18" s="13">
        <v>0.0</v>
      </c>
      <c r="E18" s="11">
        <f t="shared" ref="E18:E45" si="7">D18-C18</f>
        <v>0</v>
      </c>
      <c r="F18" s="11">
        <v>1182.6</v>
      </c>
      <c r="G18" s="15">
        <f t="shared" ref="G18:G45" si="8">E18*F18</f>
        <v>0</v>
      </c>
      <c r="H18" s="11">
        <v>5000.0</v>
      </c>
      <c r="I18" s="15">
        <f t="shared" ref="I18:I45" si="9">E18*F18+H18</f>
        <v>5000</v>
      </c>
      <c r="J18" s="16">
        <v>45908.0</v>
      </c>
      <c r="K18" s="17" t="s">
        <v>149</v>
      </c>
      <c r="L18" s="17" t="s">
        <v>143</v>
      </c>
      <c r="M18" s="15">
        <f t="shared" ref="M18:M26" si="10">IF(L18="Pagado", I18, 0)</f>
        <v>0</v>
      </c>
      <c r="N18" s="12"/>
      <c r="O18" s="12"/>
      <c r="P18" s="15">
        <f t="shared" ref="P18:P57" si="11">IF(L18="NO APLICA",0, (I18-M18))</f>
        <v>5000</v>
      </c>
      <c r="Q18" s="15"/>
    </row>
    <row r="19" ht="22.5" customHeight="1">
      <c r="A19" s="11">
        <v>25.0</v>
      </c>
      <c r="B19" s="12" t="str">
        <f>Usuarios!B26 &amp; " " &amp; Usuarios!C26 &amp; " " &amp; Usuarios!D26
</f>
        <v>Inés  Velasquez </v>
      </c>
      <c r="C19" s="11">
        <f t="shared" si="1"/>
        <v>134</v>
      </c>
      <c r="D19" s="13">
        <v>139.0</v>
      </c>
      <c r="E19" s="11">
        <f t="shared" si="7"/>
        <v>5</v>
      </c>
      <c r="F19" s="11">
        <v>1182.6</v>
      </c>
      <c r="G19" s="15">
        <f t="shared" si="8"/>
        <v>5913</v>
      </c>
      <c r="H19" s="11">
        <v>5000.0</v>
      </c>
      <c r="I19" s="15">
        <f t="shared" si="9"/>
        <v>10913</v>
      </c>
      <c r="J19" s="16">
        <v>45908.0</v>
      </c>
      <c r="K19" s="17" t="s">
        <v>149</v>
      </c>
      <c r="L19" s="17" t="s">
        <v>143</v>
      </c>
      <c r="M19" s="15">
        <f t="shared" si="10"/>
        <v>0</v>
      </c>
      <c r="N19" s="12"/>
      <c r="O19" s="12"/>
      <c r="P19" s="15">
        <f t="shared" si="11"/>
        <v>10913</v>
      </c>
      <c r="Q19" s="15"/>
    </row>
    <row r="20" ht="22.5" customHeight="1">
      <c r="A20" s="11">
        <v>17.0</v>
      </c>
      <c r="B20" s="12" t="str">
        <f>Usuarios!B18 &amp; " " &amp; Usuarios!C18 &amp; " " &amp; Usuarios!D18
</f>
        <v>Joaquin  Claramunt </v>
      </c>
      <c r="C20" s="11">
        <f t="shared" si="1"/>
        <v>210</v>
      </c>
      <c r="D20" s="13">
        <v>222.0</v>
      </c>
      <c r="E20" s="11">
        <f t="shared" si="7"/>
        <v>12</v>
      </c>
      <c r="F20" s="11">
        <v>1182.6</v>
      </c>
      <c r="G20" s="15">
        <f t="shared" si="8"/>
        <v>14191.2</v>
      </c>
      <c r="H20" s="11">
        <v>5000.0</v>
      </c>
      <c r="I20" s="15">
        <f t="shared" si="9"/>
        <v>19191.2</v>
      </c>
      <c r="J20" s="16">
        <v>45908.0</v>
      </c>
      <c r="K20" s="17" t="s">
        <v>149</v>
      </c>
      <c r="L20" s="17" t="s">
        <v>143</v>
      </c>
      <c r="M20" s="15">
        <f t="shared" si="10"/>
        <v>0</v>
      </c>
      <c r="N20" s="12"/>
      <c r="O20" s="12"/>
      <c r="P20" s="15">
        <f t="shared" si="11"/>
        <v>19191.2</v>
      </c>
      <c r="Q20" s="15"/>
    </row>
    <row r="21" ht="22.5" customHeight="1">
      <c r="A21" s="11">
        <v>35.0</v>
      </c>
      <c r="B21" s="12" t="str">
        <f>Usuarios!B36 &amp; " " &amp; Usuarios!C36 &amp; " " &amp; Usuarios!D36
</f>
        <v>José  Paredes </v>
      </c>
      <c r="C21" s="11">
        <f t="shared" si="1"/>
        <v>0</v>
      </c>
      <c r="D21" s="13">
        <v>0.0</v>
      </c>
      <c r="E21" s="11">
        <f t="shared" si="7"/>
        <v>0</v>
      </c>
      <c r="F21" s="11">
        <v>1182.6</v>
      </c>
      <c r="G21" s="15">
        <f t="shared" si="8"/>
        <v>0</v>
      </c>
      <c r="H21" s="11">
        <v>5000.0</v>
      </c>
      <c r="I21" s="15">
        <f t="shared" si="9"/>
        <v>5000</v>
      </c>
      <c r="J21" s="16">
        <v>45908.0</v>
      </c>
      <c r="K21" s="17" t="s">
        <v>149</v>
      </c>
      <c r="L21" s="17" t="s">
        <v>143</v>
      </c>
      <c r="M21" s="15">
        <f t="shared" si="10"/>
        <v>0</v>
      </c>
      <c r="N21" s="12"/>
      <c r="O21" s="12"/>
      <c r="P21" s="15">
        <f t="shared" si="11"/>
        <v>5000</v>
      </c>
      <c r="Q21" s="15"/>
    </row>
    <row r="22" ht="22.5" customHeight="1">
      <c r="A22" s="11">
        <v>20.0</v>
      </c>
      <c r="B22" s="12" t="str">
        <f>Usuarios!B21 &amp; " " &amp; Usuarios!C21 &amp; " " &amp; Usuarios!D21
</f>
        <v>Juan  Chavez </v>
      </c>
      <c r="C22" s="11">
        <f t="shared" si="1"/>
        <v>29</v>
      </c>
      <c r="D22" s="13">
        <v>29.0</v>
      </c>
      <c r="E22" s="11">
        <f t="shared" si="7"/>
        <v>0</v>
      </c>
      <c r="F22" s="11">
        <v>1182.6</v>
      </c>
      <c r="G22" s="15">
        <f t="shared" si="8"/>
        <v>0</v>
      </c>
      <c r="H22" s="11">
        <v>5000.0</v>
      </c>
      <c r="I22" s="15">
        <f t="shared" si="9"/>
        <v>5000</v>
      </c>
      <c r="J22" s="16">
        <v>45908.0</v>
      </c>
      <c r="K22" s="17" t="s">
        <v>149</v>
      </c>
      <c r="L22" s="17" t="s">
        <v>143</v>
      </c>
      <c r="M22" s="15">
        <f t="shared" si="10"/>
        <v>0</v>
      </c>
      <c r="N22" s="12"/>
      <c r="O22" s="12"/>
      <c r="P22" s="15">
        <f t="shared" si="11"/>
        <v>5000</v>
      </c>
      <c r="Q22" s="15"/>
    </row>
    <row r="23" ht="22.5" customHeight="1">
      <c r="A23" s="11">
        <v>42.0</v>
      </c>
      <c r="B23" s="12" t="str">
        <f>Usuarios!B43 &amp; " " &amp; Usuarios!C43 &amp; " " &amp; Usuarios!D43
</f>
        <v>Leo  Soto </v>
      </c>
      <c r="C23" s="11">
        <f t="shared" si="1"/>
        <v>0</v>
      </c>
      <c r="D23" s="13">
        <v>0.0</v>
      </c>
      <c r="E23" s="11">
        <f t="shared" si="7"/>
        <v>0</v>
      </c>
      <c r="F23" s="11">
        <v>1182.6</v>
      </c>
      <c r="G23" s="15">
        <f t="shared" si="8"/>
        <v>0</v>
      </c>
      <c r="H23" s="11">
        <v>5000.0</v>
      </c>
      <c r="I23" s="15">
        <f t="shared" si="9"/>
        <v>5000</v>
      </c>
      <c r="J23" s="16">
        <v>45908.0</v>
      </c>
      <c r="K23" s="17" t="s">
        <v>149</v>
      </c>
      <c r="L23" s="17" t="s">
        <v>143</v>
      </c>
      <c r="M23" s="15">
        <f t="shared" si="10"/>
        <v>0</v>
      </c>
      <c r="N23" s="12"/>
      <c r="O23" s="12"/>
      <c r="P23" s="15">
        <f t="shared" si="11"/>
        <v>5000</v>
      </c>
      <c r="Q23" s="15"/>
    </row>
    <row r="24" ht="22.5" customHeight="1">
      <c r="A24" s="11">
        <v>57.0</v>
      </c>
      <c r="B24" s="12" t="str">
        <f>Usuarios!B58 &amp; " " &amp; Usuarios!C58 &amp; " " &amp; Usuarios!D58
</f>
        <v>Lishby  Fuentes  Diaz</v>
      </c>
      <c r="C24" s="11">
        <f t="shared" si="1"/>
        <v>15</v>
      </c>
      <c r="D24" s="13">
        <v>34.0</v>
      </c>
      <c r="E24" s="11">
        <f t="shared" si="7"/>
        <v>19</v>
      </c>
      <c r="F24" s="11">
        <v>1182.6</v>
      </c>
      <c r="G24" s="15">
        <f t="shared" si="8"/>
        <v>22469.4</v>
      </c>
      <c r="H24" s="11">
        <v>5000.0</v>
      </c>
      <c r="I24" s="15">
        <f t="shared" si="9"/>
        <v>27469.4</v>
      </c>
      <c r="J24" s="16">
        <v>45908.0</v>
      </c>
      <c r="K24" s="17" t="s">
        <v>149</v>
      </c>
      <c r="L24" s="17" t="s">
        <v>143</v>
      </c>
      <c r="M24" s="15">
        <f t="shared" si="10"/>
        <v>0</v>
      </c>
      <c r="N24" s="12"/>
      <c r="O24" s="12"/>
      <c r="P24" s="15">
        <f t="shared" si="11"/>
        <v>27469.4</v>
      </c>
      <c r="Q24" s="15"/>
    </row>
    <row r="25" ht="22.5" customHeight="1">
      <c r="A25" s="11">
        <v>48.0</v>
      </c>
      <c r="B25" s="12" t="str">
        <f>Usuarios!B49 &amp; " " &amp; Usuarios!C49 &amp; " " &amp; Usuarios!D49
</f>
        <v>Luis Vicente   Mondaca  Muñoz</v>
      </c>
      <c r="C25" s="11">
        <f t="shared" si="1"/>
        <v>359</v>
      </c>
      <c r="D25" s="13">
        <v>377.0</v>
      </c>
      <c r="E25" s="11">
        <f t="shared" si="7"/>
        <v>18</v>
      </c>
      <c r="F25" s="11">
        <v>1182.6</v>
      </c>
      <c r="G25" s="15">
        <f t="shared" si="8"/>
        <v>21286.8</v>
      </c>
      <c r="H25" s="11">
        <v>5000.0</v>
      </c>
      <c r="I25" s="15">
        <f t="shared" si="9"/>
        <v>26286.8</v>
      </c>
      <c r="J25" s="16">
        <v>45908.0</v>
      </c>
      <c r="K25" s="17" t="s">
        <v>149</v>
      </c>
      <c r="L25" s="17" t="s">
        <v>146</v>
      </c>
      <c r="M25" s="15">
        <f t="shared" si="10"/>
        <v>26286.8</v>
      </c>
      <c r="N25" s="16">
        <v>45939.0</v>
      </c>
      <c r="O25" s="36" t="s">
        <v>148</v>
      </c>
      <c r="P25" s="15">
        <f t="shared" si="11"/>
        <v>0</v>
      </c>
      <c r="Q25" s="15"/>
    </row>
    <row r="26" ht="22.5" customHeight="1">
      <c r="A26" s="11">
        <v>30.0</v>
      </c>
      <c r="B26" s="12" t="str">
        <f>Usuarios!B31 &amp; " " &amp; Usuarios!C31 &amp; " " &amp; Usuarios!D31
</f>
        <v>Luz  Maldonado </v>
      </c>
      <c r="C26" s="11">
        <f t="shared" si="1"/>
        <v>5</v>
      </c>
      <c r="D26" s="13">
        <v>5.0</v>
      </c>
      <c r="E26" s="11">
        <f t="shared" si="7"/>
        <v>0</v>
      </c>
      <c r="F26" s="11">
        <v>1182.6</v>
      </c>
      <c r="G26" s="15">
        <f t="shared" si="8"/>
        <v>0</v>
      </c>
      <c r="H26" s="11">
        <v>5000.0</v>
      </c>
      <c r="I26" s="15">
        <f t="shared" si="9"/>
        <v>5000</v>
      </c>
      <c r="J26" s="16">
        <v>45908.0</v>
      </c>
      <c r="K26" s="17" t="s">
        <v>149</v>
      </c>
      <c r="L26" s="17" t="s">
        <v>143</v>
      </c>
      <c r="M26" s="15">
        <f t="shared" si="10"/>
        <v>0</v>
      </c>
      <c r="N26" s="12"/>
      <c r="O26" s="12"/>
      <c r="P26" s="15">
        <f t="shared" si="11"/>
        <v>5000</v>
      </c>
      <c r="Q26" s="15"/>
    </row>
    <row r="27" ht="22.5" customHeight="1">
      <c r="A27" s="11">
        <v>7.0</v>
      </c>
      <c r="B27" s="12" t="str">
        <f>Usuarios!B8 &amp; " " &amp; Usuarios!C8 &amp; " " &amp; Usuarios!D8
</f>
        <v>Marcelo  Millanao </v>
      </c>
      <c r="C27" s="11">
        <f t="shared" si="1"/>
        <v>285</v>
      </c>
      <c r="D27" s="13">
        <v>299.0</v>
      </c>
      <c r="E27" s="11">
        <f t="shared" si="7"/>
        <v>14</v>
      </c>
      <c r="F27" s="11">
        <v>1182.6</v>
      </c>
      <c r="G27" s="15">
        <f t="shared" si="8"/>
        <v>16556.4</v>
      </c>
      <c r="H27" s="11">
        <v>5000.0</v>
      </c>
      <c r="I27" s="15">
        <f t="shared" si="9"/>
        <v>21556.4</v>
      </c>
      <c r="J27" s="16">
        <v>45908.0</v>
      </c>
      <c r="K27" s="17" t="s">
        <v>149</v>
      </c>
      <c r="L27" s="17" t="s">
        <v>150</v>
      </c>
      <c r="M27" s="19">
        <v>15643.0</v>
      </c>
      <c r="N27" s="12"/>
      <c r="O27" s="12"/>
      <c r="P27" s="15">
        <f t="shared" si="11"/>
        <v>5913.4</v>
      </c>
      <c r="Q27" s="15"/>
    </row>
    <row r="28" ht="22.5" customHeight="1">
      <c r="A28" s="11">
        <v>51.0</v>
      </c>
      <c r="B28" s="12" t="str">
        <f>Usuarios!B52 &amp; " " &amp; Usuarios!C52 &amp; " " &amp; Usuarios!D52
</f>
        <v>Maria  Manquian </v>
      </c>
      <c r="C28" s="11">
        <f t="shared" si="1"/>
        <v>0</v>
      </c>
      <c r="D28" s="13">
        <v>0.0</v>
      </c>
      <c r="E28" s="11">
        <f t="shared" si="7"/>
        <v>0</v>
      </c>
      <c r="F28" s="11">
        <v>1182.6</v>
      </c>
      <c r="G28" s="15">
        <f t="shared" si="8"/>
        <v>0</v>
      </c>
      <c r="H28" s="11">
        <v>5000.0</v>
      </c>
      <c r="I28" s="15">
        <f t="shared" si="9"/>
        <v>5000</v>
      </c>
      <c r="J28" s="16">
        <v>45908.0</v>
      </c>
      <c r="K28" s="17" t="s">
        <v>149</v>
      </c>
      <c r="L28" s="17" t="s">
        <v>143</v>
      </c>
      <c r="M28" s="15">
        <f t="shared" ref="M28:M40" si="12">IF(L28="Pagado", I28, 0)</f>
        <v>0</v>
      </c>
      <c r="N28" s="12"/>
      <c r="O28" s="12"/>
      <c r="P28" s="15">
        <f t="shared" si="11"/>
        <v>5000</v>
      </c>
      <c r="Q28" s="15"/>
    </row>
    <row r="29" ht="22.5" customHeight="1">
      <c r="A29" s="11">
        <v>9.0</v>
      </c>
      <c r="B29" s="12" t="str">
        <f>Usuarios!B10 &amp; " " &amp; Usuarios!C10 &amp; " " &amp; Usuarios!D10
</f>
        <v>Maria  Marin </v>
      </c>
      <c r="C29" s="11">
        <f t="shared" si="1"/>
        <v>212</v>
      </c>
      <c r="D29" s="13">
        <v>223.0</v>
      </c>
      <c r="E29" s="11">
        <f t="shared" si="7"/>
        <v>11</v>
      </c>
      <c r="F29" s="11">
        <v>1182.6</v>
      </c>
      <c r="G29" s="15">
        <f t="shared" si="8"/>
        <v>13008.6</v>
      </c>
      <c r="H29" s="11">
        <v>5000.0</v>
      </c>
      <c r="I29" s="15">
        <f t="shared" si="9"/>
        <v>18008.6</v>
      </c>
      <c r="J29" s="16">
        <v>45908.0</v>
      </c>
      <c r="K29" s="17" t="s">
        <v>149</v>
      </c>
      <c r="L29" s="17" t="s">
        <v>146</v>
      </c>
      <c r="M29" s="15">
        <f t="shared" si="12"/>
        <v>18008.6</v>
      </c>
      <c r="N29" s="12"/>
      <c r="O29" s="12"/>
      <c r="P29" s="15">
        <f t="shared" si="11"/>
        <v>0</v>
      </c>
      <c r="Q29" s="15"/>
    </row>
    <row r="30" ht="22.5" customHeight="1">
      <c r="A30" s="11">
        <v>33.0</v>
      </c>
      <c r="B30" s="12" t="str">
        <f>Usuarios!B34 &amp; " " &amp; Usuarios!C34 &amp; " " &amp; Usuarios!D34
</f>
        <v>Maria Oliva  Soto  Almonacid</v>
      </c>
      <c r="C30" s="11">
        <f t="shared" si="1"/>
        <v>55</v>
      </c>
      <c r="D30" s="13">
        <v>57.0</v>
      </c>
      <c r="E30" s="11">
        <f t="shared" si="7"/>
        <v>2</v>
      </c>
      <c r="F30" s="11">
        <v>1182.6</v>
      </c>
      <c r="G30" s="15">
        <f t="shared" si="8"/>
        <v>2365.2</v>
      </c>
      <c r="H30" s="11">
        <v>5000.0</v>
      </c>
      <c r="I30" s="15">
        <f t="shared" si="9"/>
        <v>7365.2</v>
      </c>
      <c r="J30" s="16">
        <v>45908.0</v>
      </c>
      <c r="K30" s="17" t="s">
        <v>149</v>
      </c>
      <c r="L30" s="17" t="s">
        <v>146</v>
      </c>
      <c r="M30" s="15">
        <f t="shared" si="12"/>
        <v>7365.2</v>
      </c>
      <c r="N30" s="12"/>
      <c r="O30" s="12"/>
      <c r="P30" s="15">
        <f t="shared" si="11"/>
        <v>0</v>
      </c>
      <c r="Q30" s="15"/>
    </row>
    <row r="31" ht="22.5" customHeight="1">
      <c r="A31" s="11">
        <v>44.0</v>
      </c>
      <c r="B31" s="12" t="str">
        <f>Usuarios!B45 &amp; " " &amp; Usuarios!C45 &amp; " " &amp; Usuarios!D45
</f>
        <v>María Sonia  Quintui </v>
      </c>
      <c r="C31" s="11">
        <f t="shared" si="1"/>
        <v>18</v>
      </c>
      <c r="D31" s="13">
        <v>19.0</v>
      </c>
      <c r="E31" s="11">
        <f t="shared" si="7"/>
        <v>1</v>
      </c>
      <c r="F31" s="11">
        <v>1182.6</v>
      </c>
      <c r="G31" s="15">
        <f t="shared" si="8"/>
        <v>1182.6</v>
      </c>
      <c r="H31" s="11">
        <v>5000.0</v>
      </c>
      <c r="I31" s="15">
        <f t="shared" si="9"/>
        <v>6182.6</v>
      </c>
      <c r="J31" s="16">
        <v>45908.0</v>
      </c>
      <c r="K31" s="17" t="s">
        <v>149</v>
      </c>
      <c r="L31" s="17" t="s">
        <v>143</v>
      </c>
      <c r="M31" s="15">
        <f t="shared" si="12"/>
        <v>0</v>
      </c>
      <c r="N31" s="12"/>
      <c r="O31" s="12"/>
      <c r="P31" s="15">
        <f t="shared" si="11"/>
        <v>6182.6</v>
      </c>
      <c r="Q31" s="15"/>
    </row>
    <row r="32" ht="22.5" customHeight="1">
      <c r="A32" s="11">
        <v>24.0</v>
      </c>
      <c r="B32" s="12" t="str">
        <f>Usuarios!B25 &amp; " " &amp; Usuarios!C25 &amp; " " &amp; Usuarios!D25
</f>
        <v>Maria Velasquez  Miranda</v>
      </c>
      <c r="C32" s="11">
        <f t="shared" si="1"/>
        <v>302</v>
      </c>
      <c r="D32" s="13">
        <v>311.0</v>
      </c>
      <c r="E32" s="11">
        <f t="shared" si="7"/>
        <v>9</v>
      </c>
      <c r="F32" s="11">
        <v>1182.6</v>
      </c>
      <c r="G32" s="15">
        <f t="shared" si="8"/>
        <v>10643.4</v>
      </c>
      <c r="H32" s="11">
        <v>5000.0</v>
      </c>
      <c r="I32" s="15">
        <f t="shared" si="9"/>
        <v>15643.4</v>
      </c>
      <c r="J32" s="16">
        <v>45908.0</v>
      </c>
      <c r="K32" s="17" t="s">
        <v>149</v>
      </c>
      <c r="L32" s="17" t="s">
        <v>143</v>
      </c>
      <c r="M32" s="15">
        <f t="shared" si="12"/>
        <v>0</v>
      </c>
      <c r="N32" s="12"/>
      <c r="O32" s="12"/>
      <c r="P32" s="15">
        <f t="shared" si="11"/>
        <v>15643.4</v>
      </c>
      <c r="Q32" s="15"/>
    </row>
    <row r="33" ht="22.5" customHeight="1">
      <c r="A33" s="11">
        <v>56.0</v>
      </c>
      <c r="B33" s="12" t="str">
        <f>Usuarios!B57 &amp; " " &amp; Usuarios!C57 &amp; " " &amp; Usuarios!D57
</f>
        <v>Mario  Velasquez </v>
      </c>
      <c r="C33" s="11">
        <f t="shared" si="1"/>
        <v>56</v>
      </c>
      <c r="D33" s="13">
        <v>66.0</v>
      </c>
      <c r="E33" s="11">
        <f t="shared" si="7"/>
        <v>10</v>
      </c>
      <c r="F33" s="11">
        <v>1182.6</v>
      </c>
      <c r="G33" s="15">
        <f t="shared" si="8"/>
        <v>11826</v>
      </c>
      <c r="H33" s="11">
        <v>5000.0</v>
      </c>
      <c r="I33" s="15">
        <f t="shared" si="9"/>
        <v>16826</v>
      </c>
      <c r="J33" s="16">
        <v>45908.0</v>
      </c>
      <c r="K33" s="17" t="s">
        <v>149</v>
      </c>
      <c r="L33" s="17" t="s">
        <v>143</v>
      </c>
      <c r="M33" s="15">
        <f t="shared" si="12"/>
        <v>0</v>
      </c>
      <c r="N33" s="12"/>
      <c r="O33" s="12"/>
      <c r="P33" s="15">
        <f t="shared" si="11"/>
        <v>16826</v>
      </c>
      <c r="Q33" s="15"/>
    </row>
    <row r="34" ht="22.5" customHeight="1">
      <c r="A34" s="11">
        <v>5.0</v>
      </c>
      <c r="B34" s="12" t="str">
        <f>Usuarios!B6 &amp; " " &amp; Usuarios!C6 &amp; " " &amp; Usuarios!D6
</f>
        <v>Marisol  Castro </v>
      </c>
      <c r="C34" s="11">
        <f t="shared" si="1"/>
        <v>130</v>
      </c>
      <c r="D34" s="13">
        <v>138.0</v>
      </c>
      <c r="E34" s="11">
        <f t="shared" si="7"/>
        <v>8</v>
      </c>
      <c r="F34" s="11">
        <v>1182.6</v>
      </c>
      <c r="G34" s="15">
        <f t="shared" si="8"/>
        <v>9460.8</v>
      </c>
      <c r="H34" s="11">
        <v>5000.0</v>
      </c>
      <c r="I34" s="15">
        <f t="shared" si="9"/>
        <v>14460.8</v>
      </c>
      <c r="J34" s="16">
        <v>45908.0</v>
      </c>
      <c r="K34" s="17" t="s">
        <v>149</v>
      </c>
      <c r="L34" s="17" t="s">
        <v>146</v>
      </c>
      <c r="M34" s="15">
        <f t="shared" si="12"/>
        <v>14460.8</v>
      </c>
      <c r="N34" s="12"/>
      <c r="O34" s="12"/>
      <c r="P34" s="15">
        <f t="shared" si="11"/>
        <v>0</v>
      </c>
      <c r="Q34" s="15"/>
    </row>
    <row r="35" ht="22.5" customHeight="1">
      <c r="A35" s="11">
        <v>6.0</v>
      </c>
      <c r="B35" s="12" t="str">
        <f>Usuarios!B7 &amp; " " &amp; Usuarios!C7 &amp; " " &amp; Usuarios!D7
</f>
        <v>Mauricio  Muñoz </v>
      </c>
      <c r="C35" s="11">
        <f t="shared" si="1"/>
        <v>225</v>
      </c>
      <c r="D35" s="13">
        <v>238.0</v>
      </c>
      <c r="E35" s="11">
        <f t="shared" si="7"/>
        <v>13</v>
      </c>
      <c r="F35" s="11">
        <v>1182.6</v>
      </c>
      <c r="G35" s="15">
        <f t="shared" si="8"/>
        <v>15373.8</v>
      </c>
      <c r="H35" s="11">
        <v>5000.0</v>
      </c>
      <c r="I35" s="15">
        <f t="shared" si="9"/>
        <v>20373.8</v>
      </c>
      <c r="J35" s="16">
        <v>45908.0</v>
      </c>
      <c r="K35" s="17" t="s">
        <v>149</v>
      </c>
      <c r="L35" s="17" t="s">
        <v>146</v>
      </c>
      <c r="M35" s="15">
        <f t="shared" si="12"/>
        <v>20373.8</v>
      </c>
      <c r="N35" s="16">
        <v>45932.0</v>
      </c>
      <c r="O35" s="36" t="s">
        <v>147</v>
      </c>
      <c r="P35" s="15">
        <f t="shared" si="11"/>
        <v>0</v>
      </c>
      <c r="Q35" s="15"/>
    </row>
    <row r="36" ht="22.5" customHeight="1">
      <c r="A36" s="11">
        <v>46.0</v>
      </c>
      <c r="B36" s="12" t="str">
        <f>Usuarios!B47 &amp; " " &amp; Usuarios!C47 &amp; " " &amp; Usuarios!D47
</f>
        <v>Mauricio  Muñoz taller </v>
      </c>
      <c r="C36" s="11">
        <f t="shared" si="1"/>
        <v>0</v>
      </c>
      <c r="D36" s="13">
        <v>0.0</v>
      </c>
      <c r="E36" s="11">
        <f t="shared" si="7"/>
        <v>0</v>
      </c>
      <c r="F36" s="11">
        <v>1182.6</v>
      </c>
      <c r="G36" s="15">
        <f t="shared" si="8"/>
        <v>0</v>
      </c>
      <c r="H36" s="11">
        <v>5000.0</v>
      </c>
      <c r="I36" s="15">
        <f t="shared" si="9"/>
        <v>5000</v>
      </c>
      <c r="J36" s="16">
        <v>45908.0</v>
      </c>
      <c r="K36" s="17" t="s">
        <v>149</v>
      </c>
      <c r="L36" s="17" t="s">
        <v>143</v>
      </c>
      <c r="M36" s="15">
        <f t="shared" si="12"/>
        <v>0</v>
      </c>
      <c r="N36" s="12"/>
      <c r="O36" s="12"/>
      <c r="P36" s="15">
        <f t="shared" si="11"/>
        <v>5000</v>
      </c>
      <c r="Q36" s="15"/>
    </row>
    <row r="37" ht="22.5" customHeight="1">
      <c r="A37" s="11">
        <v>11.0</v>
      </c>
      <c r="B37" s="12" t="str">
        <f>Usuarios!B12 &amp; " " &amp; Usuarios!C12 &amp; " " &amp; Usuarios!D12
</f>
        <v>Miguel  Ñanco </v>
      </c>
      <c r="C37" s="11">
        <f t="shared" si="1"/>
        <v>1</v>
      </c>
      <c r="D37" s="13">
        <v>3.0</v>
      </c>
      <c r="E37" s="11">
        <f t="shared" si="7"/>
        <v>2</v>
      </c>
      <c r="F37" s="11">
        <v>1182.6</v>
      </c>
      <c r="G37" s="15">
        <f t="shared" si="8"/>
        <v>2365.2</v>
      </c>
      <c r="H37" s="11">
        <v>5000.0</v>
      </c>
      <c r="I37" s="15">
        <f t="shared" si="9"/>
        <v>7365.2</v>
      </c>
      <c r="J37" s="16">
        <v>45908.0</v>
      </c>
      <c r="K37" s="17" t="s">
        <v>149</v>
      </c>
      <c r="L37" s="17" t="s">
        <v>143</v>
      </c>
      <c r="M37" s="15">
        <f t="shared" si="12"/>
        <v>0</v>
      </c>
      <c r="N37" s="12"/>
      <c r="O37" s="12"/>
      <c r="P37" s="15">
        <f t="shared" si="11"/>
        <v>7365.2</v>
      </c>
      <c r="Q37" s="15"/>
    </row>
    <row r="38" ht="22.5" customHeight="1">
      <c r="A38" s="11">
        <v>29.0</v>
      </c>
      <c r="B38" s="12" t="str">
        <f>Usuarios!B30 &amp; " " &amp; Usuarios!C30 &amp; " " &amp; Usuarios!D30
</f>
        <v>Miriam  Alvarado </v>
      </c>
      <c r="C38" s="11">
        <f t="shared" si="1"/>
        <v>636</v>
      </c>
      <c r="D38" s="13">
        <v>659.0</v>
      </c>
      <c r="E38" s="11">
        <f t="shared" si="7"/>
        <v>23</v>
      </c>
      <c r="F38" s="11">
        <v>1182.6</v>
      </c>
      <c r="G38" s="15">
        <f t="shared" si="8"/>
        <v>27199.8</v>
      </c>
      <c r="H38" s="11">
        <v>5000.0</v>
      </c>
      <c r="I38" s="15">
        <f t="shared" si="9"/>
        <v>32199.8</v>
      </c>
      <c r="J38" s="16">
        <v>45908.0</v>
      </c>
      <c r="K38" s="17" t="s">
        <v>149</v>
      </c>
      <c r="L38" s="17" t="s">
        <v>143</v>
      </c>
      <c r="M38" s="15">
        <f t="shared" si="12"/>
        <v>0</v>
      </c>
      <c r="N38" s="12"/>
      <c r="O38" s="12"/>
      <c r="P38" s="15">
        <f t="shared" si="11"/>
        <v>32199.8</v>
      </c>
      <c r="Q38" s="15"/>
    </row>
    <row r="39" ht="22.5" customHeight="1">
      <c r="A39" s="11">
        <v>45.0</v>
      </c>
      <c r="B39" s="12" t="str">
        <f>Usuarios!B46 &amp; " " &amp; Usuarios!C46 &amp; " " &amp; Usuarios!D46
</f>
        <v>Monica  Cuello </v>
      </c>
      <c r="C39" s="11">
        <f t="shared" si="1"/>
        <v>0</v>
      </c>
      <c r="D39" s="13">
        <v>0.0</v>
      </c>
      <c r="E39" s="11">
        <f t="shared" si="7"/>
        <v>0</v>
      </c>
      <c r="F39" s="11">
        <v>1182.6</v>
      </c>
      <c r="G39" s="15">
        <f t="shared" si="8"/>
        <v>0</v>
      </c>
      <c r="H39" s="11">
        <v>5000.0</v>
      </c>
      <c r="I39" s="15">
        <f t="shared" si="9"/>
        <v>5000</v>
      </c>
      <c r="J39" s="16">
        <v>45908.0</v>
      </c>
      <c r="K39" s="17" t="s">
        <v>149</v>
      </c>
      <c r="L39" s="17" t="s">
        <v>146</v>
      </c>
      <c r="M39" s="15">
        <f t="shared" si="12"/>
        <v>5000</v>
      </c>
      <c r="N39" s="12"/>
      <c r="O39" s="12"/>
      <c r="P39" s="15">
        <f t="shared" si="11"/>
        <v>0</v>
      </c>
      <c r="Q39" s="15"/>
    </row>
    <row r="40" ht="22.5" customHeight="1">
      <c r="A40" s="11">
        <v>1.0</v>
      </c>
      <c r="B40" s="12" t="str">
        <f>Usuarios!B2 &amp; " " &amp; Usuarios!C2 &amp; " " &amp; Usuarios!D2
</f>
        <v>Nancy Zuñiga Villarroel</v>
      </c>
      <c r="C40" s="11">
        <f t="shared" si="1"/>
        <v>233</v>
      </c>
      <c r="D40" s="13">
        <v>247.0</v>
      </c>
      <c r="E40" s="11">
        <f t="shared" si="7"/>
        <v>14</v>
      </c>
      <c r="F40" s="11">
        <v>1182.6</v>
      </c>
      <c r="G40" s="15">
        <f t="shared" si="8"/>
        <v>16556.4</v>
      </c>
      <c r="H40" s="11">
        <v>5000.0</v>
      </c>
      <c r="I40" s="15">
        <f t="shared" si="9"/>
        <v>21556.4</v>
      </c>
      <c r="J40" s="16">
        <v>45908.0</v>
      </c>
      <c r="K40" s="17" t="s">
        <v>149</v>
      </c>
      <c r="L40" s="17" t="s">
        <v>143</v>
      </c>
      <c r="M40" s="15">
        <f t="shared" si="12"/>
        <v>0</v>
      </c>
      <c r="N40" s="12"/>
      <c r="O40" s="12"/>
      <c r="P40" s="15">
        <f t="shared" si="11"/>
        <v>21556.4</v>
      </c>
      <c r="Q40" s="15"/>
    </row>
    <row r="41" ht="22.5" customHeight="1">
      <c r="A41" s="11">
        <v>32.0</v>
      </c>
      <c r="B41" s="12" t="str">
        <f>Usuarios!B33 &amp; " " &amp; Usuarios!C33 &amp; " " &amp; Usuarios!D33
</f>
        <v>Natividad  Soto </v>
      </c>
      <c r="C41" s="11">
        <f t="shared" si="1"/>
        <v>153</v>
      </c>
      <c r="D41" s="13">
        <v>176.0</v>
      </c>
      <c r="E41" s="11">
        <f t="shared" si="7"/>
        <v>23</v>
      </c>
      <c r="F41" s="11">
        <v>1182.6</v>
      </c>
      <c r="G41" s="15">
        <f t="shared" si="8"/>
        <v>27199.8</v>
      </c>
      <c r="H41" s="11">
        <v>5000.0</v>
      </c>
      <c r="I41" s="15">
        <f t="shared" si="9"/>
        <v>32199.8</v>
      </c>
      <c r="J41" s="16">
        <v>45908.0</v>
      </c>
      <c r="K41" s="17" t="s">
        <v>149</v>
      </c>
      <c r="L41" s="17" t="s">
        <v>146</v>
      </c>
      <c r="M41" s="19">
        <v>0.0</v>
      </c>
      <c r="N41" s="12"/>
      <c r="O41" s="12"/>
      <c r="P41" s="15">
        <f t="shared" si="11"/>
        <v>32199.8</v>
      </c>
      <c r="Q41" s="15"/>
    </row>
    <row r="42" ht="22.5" customHeight="1">
      <c r="A42" s="11">
        <v>18.0</v>
      </c>
      <c r="B42" s="12" t="str">
        <f>Usuarios!B19 &amp; " " &amp; Usuarios!C19 &amp; " " &amp; Usuarios!D19
</f>
        <v>Nelson  Mansilla </v>
      </c>
      <c r="C42" s="11">
        <f t="shared" si="1"/>
        <v>151</v>
      </c>
      <c r="D42" s="13">
        <v>161.0</v>
      </c>
      <c r="E42" s="11">
        <f t="shared" si="7"/>
        <v>10</v>
      </c>
      <c r="F42" s="11">
        <v>1182.6</v>
      </c>
      <c r="G42" s="15">
        <f t="shared" si="8"/>
        <v>11826</v>
      </c>
      <c r="H42" s="11">
        <v>5000.0</v>
      </c>
      <c r="I42" s="15">
        <f t="shared" si="9"/>
        <v>16826</v>
      </c>
      <c r="J42" s="16">
        <v>45908.0</v>
      </c>
      <c r="K42" s="17" t="s">
        <v>149</v>
      </c>
      <c r="L42" s="17" t="s">
        <v>143</v>
      </c>
      <c r="M42" s="15">
        <f t="shared" ref="M42:M57" si="13">IF(L42="Pagado", I42, 0)</f>
        <v>0</v>
      </c>
      <c r="N42" s="12"/>
      <c r="O42" s="12"/>
      <c r="P42" s="15">
        <f t="shared" si="11"/>
        <v>16826</v>
      </c>
      <c r="Q42" s="15"/>
    </row>
    <row r="43" ht="22.5" customHeight="1">
      <c r="A43" s="11">
        <v>53.0</v>
      </c>
      <c r="B43" s="12" t="str">
        <f>Usuarios!B54 &amp; " " &amp; Usuarios!C54 &amp; " " &amp; Usuarios!D54
</f>
        <v>Nicolas Andres  Cardenas Bustamante</v>
      </c>
      <c r="C43" s="11">
        <f t="shared" si="1"/>
        <v>0</v>
      </c>
      <c r="D43" s="13">
        <v>0.0</v>
      </c>
      <c r="E43" s="11">
        <f t="shared" si="7"/>
        <v>0</v>
      </c>
      <c r="F43" s="11">
        <v>1182.6</v>
      </c>
      <c r="G43" s="15">
        <f t="shared" si="8"/>
        <v>0</v>
      </c>
      <c r="H43" s="11">
        <v>5000.0</v>
      </c>
      <c r="I43" s="15">
        <f t="shared" si="9"/>
        <v>5000</v>
      </c>
      <c r="J43" s="16">
        <v>45908.0</v>
      </c>
      <c r="K43" s="17" t="s">
        <v>149</v>
      </c>
      <c r="L43" s="17" t="s">
        <v>143</v>
      </c>
      <c r="M43" s="15">
        <f t="shared" si="13"/>
        <v>0</v>
      </c>
      <c r="N43" s="12"/>
      <c r="O43" s="12"/>
      <c r="P43" s="15">
        <f t="shared" si="11"/>
        <v>5000</v>
      </c>
      <c r="Q43" s="15"/>
    </row>
    <row r="44" ht="22.5" customHeight="1">
      <c r="A44" s="11">
        <v>28.0</v>
      </c>
      <c r="B44" s="12" t="str">
        <f>Usuarios!B29 &amp; " " &amp; Usuarios!C29 &amp; " " &amp; Usuarios!D29
</f>
        <v>Nora  Ñanco </v>
      </c>
      <c r="C44" s="11">
        <f t="shared" si="1"/>
        <v>513</v>
      </c>
      <c r="D44" s="13">
        <v>543.0</v>
      </c>
      <c r="E44" s="11">
        <f t="shared" si="7"/>
        <v>30</v>
      </c>
      <c r="F44" s="11">
        <v>1182.6</v>
      </c>
      <c r="G44" s="15">
        <f t="shared" si="8"/>
        <v>35478</v>
      </c>
      <c r="H44" s="11">
        <v>5000.0</v>
      </c>
      <c r="I44" s="15">
        <f t="shared" si="9"/>
        <v>40478</v>
      </c>
      <c r="J44" s="16">
        <v>45908.0</v>
      </c>
      <c r="K44" s="17" t="s">
        <v>149</v>
      </c>
      <c r="L44" s="17" t="s">
        <v>146</v>
      </c>
      <c r="M44" s="15">
        <f t="shared" si="13"/>
        <v>40478</v>
      </c>
      <c r="N44" s="12"/>
      <c r="O44" s="12"/>
      <c r="P44" s="15">
        <f t="shared" si="11"/>
        <v>0</v>
      </c>
      <c r="Q44" s="15"/>
    </row>
    <row r="45" ht="22.5" customHeight="1">
      <c r="A45" s="11">
        <v>38.0</v>
      </c>
      <c r="B45" s="12" t="str">
        <f>Usuarios!B39 &amp; " " &amp; Usuarios!C39 &amp; " " &amp; Usuarios!D39
</f>
        <v>Norma  Sanchez </v>
      </c>
      <c r="C45" s="11">
        <f t="shared" si="1"/>
        <v>9</v>
      </c>
      <c r="D45" s="13">
        <v>9.0</v>
      </c>
      <c r="E45" s="11">
        <f t="shared" si="7"/>
        <v>0</v>
      </c>
      <c r="F45" s="11">
        <v>1182.6</v>
      </c>
      <c r="G45" s="15">
        <f t="shared" si="8"/>
        <v>0</v>
      </c>
      <c r="H45" s="11">
        <v>5000.0</v>
      </c>
      <c r="I45" s="15">
        <f t="shared" si="9"/>
        <v>5000</v>
      </c>
      <c r="J45" s="16">
        <v>45908.0</v>
      </c>
      <c r="K45" s="17" t="s">
        <v>149</v>
      </c>
      <c r="L45" s="17" t="s">
        <v>143</v>
      </c>
      <c r="M45" s="15">
        <f t="shared" si="13"/>
        <v>0</v>
      </c>
      <c r="N45" s="12"/>
      <c r="O45" s="12"/>
      <c r="P45" s="15">
        <f t="shared" si="11"/>
        <v>5000</v>
      </c>
      <c r="Q45" s="15"/>
    </row>
    <row r="46" ht="22.5" customHeight="1">
      <c r="A46" s="11">
        <v>47.0</v>
      </c>
      <c r="B46" s="12" t="str">
        <f>Usuarios!B48 &amp; " " &amp; Usuarios!C48 &amp; " " &amp; Usuarios!D48
</f>
        <v>Pablo  Contreras </v>
      </c>
      <c r="C46" s="11" t="str">
        <f t="shared" si="1"/>
        <v/>
      </c>
      <c r="D46" s="13"/>
      <c r="E46" s="11"/>
      <c r="F46" s="11"/>
      <c r="G46" s="15"/>
      <c r="H46" s="11"/>
      <c r="I46" s="15"/>
      <c r="J46" s="16">
        <v>45908.0</v>
      </c>
      <c r="K46" s="17" t="s">
        <v>149</v>
      </c>
      <c r="L46" s="17" t="s">
        <v>143</v>
      </c>
      <c r="M46" s="15">
        <f t="shared" si="13"/>
        <v>0</v>
      </c>
      <c r="N46" s="12"/>
      <c r="O46" s="12"/>
      <c r="P46" s="15">
        <f t="shared" si="11"/>
        <v>0</v>
      </c>
      <c r="Q46" s="15"/>
    </row>
    <row r="47" ht="22.5" customHeight="1">
      <c r="A47" s="11">
        <v>31.0</v>
      </c>
      <c r="B47" s="12" t="str">
        <f>Usuarios!B32 &amp; " " &amp; Usuarios!C32 &amp; " " &amp; Usuarios!D32
</f>
        <v>Patricia  Carcamo  Gonzales</v>
      </c>
      <c r="C47" s="11">
        <f t="shared" si="1"/>
        <v>219</v>
      </c>
      <c r="D47" s="13">
        <v>232.0</v>
      </c>
      <c r="E47" s="11">
        <f t="shared" ref="E47:E57" si="14">D47-C47</f>
        <v>13</v>
      </c>
      <c r="F47" s="11">
        <v>1182.6</v>
      </c>
      <c r="G47" s="15">
        <f t="shared" ref="G47:G57" si="15">E47*F47</f>
        <v>15373.8</v>
      </c>
      <c r="H47" s="11">
        <v>5000.0</v>
      </c>
      <c r="I47" s="15">
        <f t="shared" ref="I47:I57" si="16">E47*F47+H47</f>
        <v>20373.8</v>
      </c>
      <c r="J47" s="16">
        <v>45908.0</v>
      </c>
      <c r="K47" s="17" t="s">
        <v>149</v>
      </c>
      <c r="L47" s="17" t="s">
        <v>143</v>
      </c>
      <c r="M47" s="15">
        <f t="shared" si="13"/>
        <v>0</v>
      </c>
      <c r="N47" s="12"/>
      <c r="O47" s="12"/>
      <c r="P47" s="15">
        <f t="shared" si="11"/>
        <v>20373.8</v>
      </c>
      <c r="Q47" s="15"/>
    </row>
    <row r="48" ht="22.5" customHeight="1">
      <c r="A48" s="11">
        <v>37.0</v>
      </c>
      <c r="B48" s="12" t="str">
        <f>Usuarios!B38 &amp; " " &amp; Usuarios!C38 &amp; " " &amp; Usuarios!D38
</f>
        <v>Patricio Alvarez Mancilla</v>
      </c>
      <c r="C48" s="11">
        <f t="shared" si="1"/>
        <v>0</v>
      </c>
      <c r="D48" s="13">
        <v>10.0</v>
      </c>
      <c r="E48" s="11">
        <f t="shared" si="14"/>
        <v>10</v>
      </c>
      <c r="F48" s="11">
        <v>1182.6</v>
      </c>
      <c r="G48" s="15">
        <f t="shared" si="15"/>
        <v>11826</v>
      </c>
      <c r="H48" s="11">
        <v>5000.0</v>
      </c>
      <c r="I48" s="15">
        <f t="shared" si="16"/>
        <v>16826</v>
      </c>
      <c r="J48" s="16">
        <v>45908.0</v>
      </c>
      <c r="K48" s="17" t="s">
        <v>149</v>
      </c>
      <c r="L48" s="17" t="s">
        <v>143</v>
      </c>
      <c r="M48" s="15">
        <f t="shared" si="13"/>
        <v>0</v>
      </c>
      <c r="N48" s="12"/>
      <c r="O48" s="12"/>
      <c r="P48" s="15">
        <f t="shared" si="11"/>
        <v>16826</v>
      </c>
      <c r="Q48" s="15"/>
    </row>
    <row r="49" ht="22.5" customHeight="1">
      <c r="A49" s="11">
        <v>27.0</v>
      </c>
      <c r="B49" s="12" t="str">
        <f>Usuarios!B28 &amp; " " &amp; Usuarios!C28 &amp; " " &amp; Usuarios!D28
</f>
        <v>Pedro  Almonacid </v>
      </c>
      <c r="C49" s="11">
        <f t="shared" si="1"/>
        <v>250</v>
      </c>
      <c r="D49" s="13">
        <v>262.0</v>
      </c>
      <c r="E49" s="11">
        <f t="shared" si="14"/>
        <v>12</v>
      </c>
      <c r="F49" s="11">
        <v>1182.6</v>
      </c>
      <c r="G49" s="15">
        <f t="shared" si="15"/>
        <v>14191.2</v>
      </c>
      <c r="H49" s="11">
        <v>5000.0</v>
      </c>
      <c r="I49" s="15">
        <f t="shared" si="16"/>
        <v>19191.2</v>
      </c>
      <c r="J49" s="16">
        <v>45908.0</v>
      </c>
      <c r="K49" s="17" t="s">
        <v>149</v>
      </c>
      <c r="L49" s="17" t="s">
        <v>143</v>
      </c>
      <c r="M49" s="15">
        <f t="shared" si="13"/>
        <v>0</v>
      </c>
      <c r="N49" s="12"/>
      <c r="O49" s="12"/>
      <c r="P49" s="15">
        <f t="shared" si="11"/>
        <v>19191.2</v>
      </c>
      <c r="Q49" s="15"/>
    </row>
    <row r="50" ht="22.5" customHeight="1">
      <c r="A50" s="11">
        <v>12.0</v>
      </c>
      <c r="B50" s="12" t="str">
        <f>Usuarios!B13 &amp; " " &amp; Usuarios!C13 &amp; " " &amp; Usuarios!D13
</f>
        <v>Pedro  Contreras </v>
      </c>
      <c r="C50" s="11">
        <f t="shared" si="1"/>
        <v>137</v>
      </c>
      <c r="D50" s="13">
        <v>146.0</v>
      </c>
      <c r="E50" s="11">
        <f t="shared" si="14"/>
        <v>9</v>
      </c>
      <c r="F50" s="11">
        <v>1182.6</v>
      </c>
      <c r="G50" s="15">
        <f t="shared" si="15"/>
        <v>10643.4</v>
      </c>
      <c r="H50" s="11">
        <v>5000.0</v>
      </c>
      <c r="I50" s="15">
        <f t="shared" si="16"/>
        <v>15643.4</v>
      </c>
      <c r="J50" s="16">
        <v>45908.0</v>
      </c>
      <c r="K50" s="17" t="s">
        <v>149</v>
      </c>
      <c r="L50" s="17" t="s">
        <v>143</v>
      </c>
      <c r="M50" s="15">
        <f t="shared" si="13"/>
        <v>0</v>
      </c>
      <c r="N50" s="12"/>
      <c r="O50" s="12"/>
      <c r="P50" s="15">
        <f t="shared" si="11"/>
        <v>15643.4</v>
      </c>
      <c r="Q50" s="15"/>
    </row>
    <row r="51" ht="22.5" customHeight="1">
      <c r="A51" s="11">
        <v>43.0</v>
      </c>
      <c r="B51" s="12" t="str">
        <f>Usuarios!B44 &amp; " " &amp; Usuarios!C44 &amp; " " &amp; Usuarios!D44
</f>
        <v>Ramon  Maldonado </v>
      </c>
      <c r="C51" s="11">
        <f t="shared" si="1"/>
        <v>0</v>
      </c>
      <c r="D51" s="13">
        <v>0.0</v>
      </c>
      <c r="E51" s="11">
        <f t="shared" si="14"/>
        <v>0</v>
      </c>
      <c r="F51" s="11">
        <v>1182.6</v>
      </c>
      <c r="G51" s="15">
        <f t="shared" si="15"/>
        <v>0</v>
      </c>
      <c r="H51" s="11">
        <v>5000.0</v>
      </c>
      <c r="I51" s="15">
        <f t="shared" si="16"/>
        <v>5000</v>
      </c>
      <c r="J51" s="16">
        <v>45908.0</v>
      </c>
      <c r="K51" s="17" t="s">
        <v>149</v>
      </c>
      <c r="L51" s="17" t="s">
        <v>143</v>
      </c>
      <c r="M51" s="15">
        <f t="shared" si="13"/>
        <v>0</v>
      </c>
      <c r="N51" s="12"/>
      <c r="O51" s="12" t="s">
        <v>147</v>
      </c>
      <c r="P51" s="15">
        <f t="shared" si="11"/>
        <v>5000</v>
      </c>
      <c r="Q51" s="15"/>
    </row>
    <row r="52" ht="22.5" customHeight="1">
      <c r="A52" s="11">
        <v>14.0</v>
      </c>
      <c r="B52" s="12" t="str">
        <f>Usuarios!B15 &amp; " " &amp; Usuarios!C15 &amp; " " &amp; Usuarios!D15
</f>
        <v>Ramona  Mansilla </v>
      </c>
      <c r="C52" s="11">
        <f t="shared" si="1"/>
        <v>59</v>
      </c>
      <c r="D52" s="13">
        <v>62.0</v>
      </c>
      <c r="E52" s="11">
        <f t="shared" si="14"/>
        <v>3</v>
      </c>
      <c r="F52" s="11">
        <v>1182.6</v>
      </c>
      <c r="G52" s="15">
        <f t="shared" si="15"/>
        <v>3547.8</v>
      </c>
      <c r="H52" s="11">
        <v>5000.0</v>
      </c>
      <c r="I52" s="15">
        <f t="shared" si="16"/>
        <v>8547.8</v>
      </c>
      <c r="J52" s="16">
        <v>45908.0</v>
      </c>
      <c r="K52" s="17" t="s">
        <v>149</v>
      </c>
      <c r="L52" s="17" t="s">
        <v>146</v>
      </c>
      <c r="M52" s="15">
        <f t="shared" si="13"/>
        <v>8547.8</v>
      </c>
      <c r="N52" s="12"/>
      <c r="O52" s="12"/>
      <c r="P52" s="15">
        <f t="shared" si="11"/>
        <v>0</v>
      </c>
      <c r="Q52" s="15"/>
    </row>
    <row r="53" ht="22.5" customHeight="1">
      <c r="A53" s="11">
        <v>54.0</v>
      </c>
      <c r="B53" s="12" t="str">
        <f>Usuarios!B55 &amp; " " &amp; Usuarios!C55 &amp; " " &amp; Usuarios!D55
</f>
        <v>Rosa  Mancilla </v>
      </c>
      <c r="C53" s="11">
        <f t="shared" si="1"/>
        <v>106</v>
      </c>
      <c r="D53" s="13">
        <v>106.0</v>
      </c>
      <c r="E53" s="11">
        <f t="shared" si="14"/>
        <v>0</v>
      </c>
      <c r="F53" s="11">
        <v>1182.6</v>
      </c>
      <c r="G53" s="15">
        <f t="shared" si="15"/>
        <v>0</v>
      </c>
      <c r="H53" s="11">
        <v>5000.0</v>
      </c>
      <c r="I53" s="15">
        <f t="shared" si="16"/>
        <v>5000</v>
      </c>
      <c r="J53" s="16">
        <v>45908.0</v>
      </c>
      <c r="K53" s="17" t="s">
        <v>149</v>
      </c>
      <c r="L53" s="17" t="s">
        <v>146</v>
      </c>
      <c r="M53" s="15">
        <f t="shared" si="13"/>
        <v>5000</v>
      </c>
      <c r="N53" s="12"/>
      <c r="O53" s="12"/>
      <c r="P53" s="15">
        <f t="shared" si="11"/>
        <v>0</v>
      </c>
      <c r="Q53" s="15"/>
    </row>
    <row r="54" ht="22.5" customHeight="1">
      <c r="A54" s="11">
        <v>49.0</v>
      </c>
      <c r="B54" s="12" t="str">
        <f>Usuarios!B50 &amp; " " &amp; Usuarios!C50 &amp; " " &amp; Usuarios!D50
</f>
        <v>Rosa  Nuñez </v>
      </c>
      <c r="C54" s="11">
        <f t="shared" si="1"/>
        <v>95</v>
      </c>
      <c r="D54" s="13">
        <v>95.0</v>
      </c>
      <c r="E54" s="11">
        <f t="shared" si="14"/>
        <v>0</v>
      </c>
      <c r="F54" s="11">
        <v>1182.6</v>
      </c>
      <c r="G54" s="15">
        <f t="shared" si="15"/>
        <v>0</v>
      </c>
      <c r="H54" s="11">
        <v>5000.0</v>
      </c>
      <c r="I54" s="15">
        <f t="shared" si="16"/>
        <v>5000</v>
      </c>
      <c r="J54" s="16">
        <v>45908.0</v>
      </c>
      <c r="K54" s="17" t="s">
        <v>149</v>
      </c>
      <c r="L54" s="17" t="s">
        <v>146</v>
      </c>
      <c r="M54" s="15">
        <f t="shared" si="13"/>
        <v>5000</v>
      </c>
      <c r="N54" s="12"/>
      <c r="O54" s="12"/>
      <c r="P54" s="15">
        <f t="shared" si="11"/>
        <v>0</v>
      </c>
      <c r="Q54" s="15"/>
    </row>
    <row r="55" ht="22.5" customHeight="1">
      <c r="A55" s="11">
        <v>15.0</v>
      </c>
      <c r="B55" s="12" t="str">
        <f>Usuarios!B16 &amp; " " &amp; Usuarios!C16 &amp; " " &amp; Usuarios!D16
</f>
        <v>Sandra Mancilla  Merino</v>
      </c>
      <c r="C55" s="11">
        <f t="shared" si="1"/>
        <v>172</v>
      </c>
      <c r="D55" s="13">
        <v>183.0</v>
      </c>
      <c r="E55" s="11">
        <f t="shared" si="14"/>
        <v>11</v>
      </c>
      <c r="F55" s="11">
        <v>1182.6</v>
      </c>
      <c r="G55" s="15">
        <f t="shared" si="15"/>
        <v>13008.6</v>
      </c>
      <c r="H55" s="11">
        <v>5000.0</v>
      </c>
      <c r="I55" s="15">
        <f t="shared" si="16"/>
        <v>18008.6</v>
      </c>
      <c r="J55" s="16">
        <v>45908.0</v>
      </c>
      <c r="K55" s="17" t="s">
        <v>149</v>
      </c>
      <c r="L55" s="17" t="s">
        <v>143</v>
      </c>
      <c r="M55" s="15">
        <f t="shared" si="13"/>
        <v>0</v>
      </c>
      <c r="N55" s="12"/>
      <c r="O55" s="12"/>
      <c r="P55" s="15">
        <f t="shared" si="11"/>
        <v>18008.6</v>
      </c>
      <c r="Q55" s="15"/>
    </row>
    <row r="56" ht="22.5" customHeight="1">
      <c r="A56" s="11">
        <v>34.0</v>
      </c>
      <c r="B56" s="12" t="str">
        <f>Usuarios!B35 &amp; " " &amp; Usuarios!C35 &amp; " " &amp; Usuarios!D35
</f>
        <v>Vanesa  Aguilar </v>
      </c>
      <c r="C56" s="11">
        <f t="shared" si="1"/>
        <v>591</v>
      </c>
      <c r="D56" s="13">
        <v>611.0</v>
      </c>
      <c r="E56" s="11">
        <f t="shared" si="14"/>
        <v>20</v>
      </c>
      <c r="F56" s="11">
        <v>1182.6</v>
      </c>
      <c r="G56" s="15">
        <f t="shared" si="15"/>
        <v>23652</v>
      </c>
      <c r="H56" s="11">
        <v>5000.0</v>
      </c>
      <c r="I56" s="15">
        <f t="shared" si="16"/>
        <v>28652</v>
      </c>
      <c r="J56" s="16">
        <v>45908.0</v>
      </c>
      <c r="K56" s="17" t="s">
        <v>149</v>
      </c>
      <c r="L56" s="17" t="s">
        <v>143</v>
      </c>
      <c r="M56" s="15">
        <f t="shared" si="13"/>
        <v>0</v>
      </c>
      <c r="N56" s="12"/>
      <c r="O56" s="12"/>
      <c r="P56" s="15">
        <f t="shared" si="11"/>
        <v>28652</v>
      </c>
      <c r="Q56" s="15"/>
    </row>
    <row r="57" ht="22.5" customHeight="1">
      <c r="A57" s="11">
        <v>22.0</v>
      </c>
      <c r="B57" s="12" t="str">
        <f>Usuarios!B23 &amp; " " &amp; Usuarios!C23 &amp; " " &amp; Usuarios!D23
</f>
        <v>Yuri  Millaquen </v>
      </c>
      <c r="C57" s="11">
        <f t="shared" si="1"/>
        <v>197</v>
      </c>
      <c r="D57" s="13">
        <v>209.0</v>
      </c>
      <c r="E57" s="11">
        <f t="shared" si="14"/>
        <v>12</v>
      </c>
      <c r="F57" s="11">
        <v>1182.6</v>
      </c>
      <c r="G57" s="15">
        <f t="shared" si="15"/>
        <v>14191.2</v>
      </c>
      <c r="H57" s="11">
        <v>5000.0</v>
      </c>
      <c r="I57" s="15">
        <f t="shared" si="16"/>
        <v>19191.2</v>
      </c>
      <c r="J57" s="16">
        <v>45908.0</v>
      </c>
      <c r="K57" s="17" t="s">
        <v>149</v>
      </c>
      <c r="L57" s="17" t="s">
        <v>143</v>
      </c>
      <c r="M57" s="15">
        <f t="shared" si="13"/>
        <v>0</v>
      </c>
      <c r="N57" s="12"/>
      <c r="O57" s="12"/>
      <c r="P57" s="15">
        <f t="shared" si="11"/>
        <v>19191.2</v>
      </c>
      <c r="Q57" s="15"/>
    </row>
    <row r="58" ht="22.5" customHeight="1">
      <c r="A58" s="20"/>
      <c r="B58" s="20"/>
      <c r="C58" s="11" t="str">
        <f>'07-2025'!D98</f>
        <v/>
      </c>
      <c r="D58" s="20"/>
      <c r="E58" s="20"/>
      <c r="F58" s="20"/>
      <c r="G58" s="22"/>
      <c r="H58" s="20"/>
      <c r="I58" s="22"/>
      <c r="J58" s="23"/>
      <c r="K58" s="24"/>
      <c r="L58" s="35"/>
      <c r="M58" s="22"/>
      <c r="N58" s="25"/>
      <c r="O58" s="25"/>
      <c r="P58" s="22"/>
      <c r="Q58" s="22"/>
    </row>
  </sheetData>
  <conditionalFormatting sqref="L33">
    <cfRule type="containsText" dxfId="5" priority="1" operator="containsText" text="PARCIAL">
      <formula>NOT(ISERROR(SEARCH(("PARCIAL"),(L33))))</formula>
    </cfRule>
  </conditionalFormatting>
  <conditionalFormatting sqref="L2:L58 J58:K58">
    <cfRule type="containsText" dxfId="6" priority="2" operator="containsText" text="PENDIENTE">
      <formula>NOT(ISERROR(SEARCH(("PENDIENTE"),(L2))))</formula>
    </cfRule>
  </conditionalFormatting>
  <conditionalFormatting sqref="L2:L58 J58:K58">
    <cfRule type="containsText" dxfId="7" priority="3" operator="containsText" text="PAGADO">
      <formula>NOT(ISERROR(SEARCH(("PAGADO"),(L2))))</formula>
    </cfRule>
  </conditionalFormatting>
  <conditionalFormatting sqref="A2:Q58">
    <cfRule type="containsText" dxfId="8" priority="4" operator="containsText" text="NO APLICA">
      <formula>NOT(ISERROR(SEARCH(("NO APLICA"),(A2))))</formula>
    </cfRule>
  </conditionalFormatting>
  <conditionalFormatting sqref="A2:P58 Q58">
    <cfRule type="containsText" dxfId="8" priority="5" operator="containsText" text="NO APLICA">
      <formula>NOT(ISERROR(SEARCH(("NO APLICA"),(A2))))</formula>
    </cfRule>
  </conditionalFormatting>
  <dataValidations>
    <dataValidation type="list" allowBlank="1" sqref="O2:O57">
      <formula1>"EFECTIVO,TRANSFERENCIA,CHEQUE,TARJETA"</formula1>
    </dataValidation>
    <dataValidation type="list" allowBlank="1" sqref="K2:K58">
      <formula1>"SI,NO"</formula1>
    </dataValidation>
    <dataValidation type="custom" allowBlank="1" showDropDown="1" sqref="A2:A58 C2:I58 M2:M58 P2:P58">
      <formula1>AND(ISNUMBER(A2),(NOT(OR(NOT(ISERROR(DATEVALUE(A2))), AND(ISNUMBER(A2), LEFT(CELL("format", A2))="D")))))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  <col customWidth="1" min="3" max="4" width="23.0"/>
    <col customWidth="1" min="5" max="5" width="22.0"/>
    <col customWidth="1" min="6" max="6" width="18.57"/>
    <col customWidth="1" min="7" max="7" width="17.86"/>
    <col customWidth="1" min="8" max="8" width="19.14"/>
    <col customWidth="1" min="9" max="9" width="17.57"/>
    <col customWidth="1" min="10" max="10" width="31.14"/>
    <col customWidth="1" min="11" max="11" width="18.43"/>
    <col customWidth="1" min="12" max="12" width="21.14"/>
    <col customWidth="1" min="13" max="13" width="38.71"/>
    <col customWidth="1" min="14" max="14" width="21.71"/>
    <col customWidth="1" min="15" max="15" width="18.0"/>
    <col customWidth="1" min="16" max="16" width="25.86"/>
    <col customWidth="1" min="17" max="17" width="22.14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11">
        <v>41.0</v>
      </c>
      <c r="B2" s="12" t="str">
        <f>Usuarios!B42 &amp; " " &amp; Usuarios!C42 &amp; " " &amp; Usuarios!D42
</f>
        <v>Astrid  Gomez </v>
      </c>
      <c r="C2" s="11">
        <f t="shared" ref="C2:C58" si="1">INDEX(INDIRECT("'" &amp; TEXT(EDATE(J2,-2),"mm-yyyy") &amp; "'!D:D"),
   MATCH(A2,INDIRECT("'" &amp; TEXT(EDATE(J2,-2),"mm-yyyy") &amp; "'!A:A"),0))
</f>
        <v>120</v>
      </c>
      <c r="D2" s="13">
        <v>125.0</v>
      </c>
      <c r="E2" s="11">
        <f t="shared" ref="E2:E17" si="2">D2-C2</f>
        <v>5</v>
      </c>
      <c r="F2" s="14">
        <v>1182.6</v>
      </c>
      <c r="G2" s="11">
        <f t="shared" ref="G2:G17" si="3">E2*F2</f>
        <v>5913</v>
      </c>
      <c r="H2" s="15">
        <v>5000.0</v>
      </c>
      <c r="I2" s="11">
        <f t="shared" ref="I2:I17" si="4">E2*F2+H2</f>
        <v>10913</v>
      </c>
      <c r="J2" s="16">
        <v>45935.0</v>
      </c>
      <c r="K2" s="17" t="s">
        <v>149</v>
      </c>
      <c r="L2" s="17" t="s">
        <v>143</v>
      </c>
      <c r="M2" s="15">
        <f t="shared" ref="M2:M17" si="5">IF(L2="Pagado", I2, 0)</f>
        <v>0</v>
      </c>
      <c r="N2" s="12"/>
      <c r="O2" s="12"/>
      <c r="P2" s="15">
        <f t="shared" ref="P2:P17" si="6">IF(L2="NO APLICA",0, (I2-M2))</f>
        <v>10913</v>
      </c>
      <c r="Q2" s="15"/>
    </row>
    <row r="3" ht="22.5" customHeight="1">
      <c r="A3" s="11">
        <v>16.0</v>
      </c>
      <c r="B3" s="12" t="str">
        <f>Usuarios!B17 &amp; " " &amp; Usuarios!C17 &amp; " " &amp; Usuarios!D17
</f>
        <v>Carlos  Agüero </v>
      </c>
      <c r="C3" s="11">
        <f t="shared" si="1"/>
        <v>238</v>
      </c>
      <c r="D3" s="13">
        <v>249.0</v>
      </c>
      <c r="E3" s="11">
        <f t="shared" si="2"/>
        <v>11</v>
      </c>
      <c r="F3" s="14">
        <v>1182.6</v>
      </c>
      <c r="G3" s="11">
        <f t="shared" si="3"/>
        <v>13008.6</v>
      </c>
      <c r="H3" s="15">
        <v>5000.0</v>
      </c>
      <c r="I3" s="11">
        <f t="shared" si="4"/>
        <v>18008.6</v>
      </c>
      <c r="J3" s="16">
        <v>45935.0</v>
      </c>
      <c r="K3" s="17" t="s">
        <v>149</v>
      </c>
      <c r="L3" s="17" t="s">
        <v>143</v>
      </c>
      <c r="M3" s="15">
        <f t="shared" si="5"/>
        <v>0</v>
      </c>
      <c r="N3" s="12"/>
      <c r="O3" s="12"/>
      <c r="P3" s="15">
        <f t="shared" si="6"/>
        <v>18008.6</v>
      </c>
      <c r="Q3" s="15"/>
    </row>
    <row r="4" ht="22.5" customHeight="1">
      <c r="A4" s="11">
        <v>13.0</v>
      </c>
      <c r="B4" s="12" t="str">
        <f>Usuarios!B14 &amp; " " &amp; Usuarios!C14 &amp; " " &amp; Usuarios!D14
</f>
        <v>Carlos  Gamin </v>
      </c>
      <c r="C4" s="11">
        <f t="shared" si="1"/>
        <v>232</v>
      </c>
      <c r="D4" s="13">
        <v>237.0</v>
      </c>
      <c r="E4" s="11">
        <f t="shared" si="2"/>
        <v>5</v>
      </c>
      <c r="F4" s="14">
        <v>1182.6</v>
      </c>
      <c r="G4" s="11">
        <f t="shared" si="3"/>
        <v>5913</v>
      </c>
      <c r="H4" s="15">
        <v>5000.0</v>
      </c>
      <c r="I4" s="11">
        <f t="shared" si="4"/>
        <v>10913</v>
      </c>
      <c r="J4" s="16">
        <v>45935.0</v>
      </c>
      <c r="K4" s="17" t="s">
        <v>149</v>
      </c>
      <c r="L4" s="17" t="s">
        <v>143</v>
      </c>
      <c r="M4" s="15">
        <f t="shared" si="5"/>
        <v>0</v>
      </c>
      <c r="N4" s="12"/>
      <c r="O4" s="12"/>
      <c r="P4" s="15">
        <f t="shared" si="6"/>
        <v>10913</v>
      </c>
      <c r="Q4" s="15"/>
    </row>
    <row r="5" ht="22.5" customHeight="1">
      <c r="A5" s="11">
        <v>23.0</v>
      </c>
      <c r="B5" s="12" t="str">
        <f>Usuarios!B24 &amp; " " &amp; Usuarios!C24 &amp; " " &amp; Usuarios!D24
</f>
        <v>Carlos  Nahuelpan </v>
      </c>
      <c r="C5" s="11">
        <f t="shared" si="1"/>
        <v>135</v>
      </c>
      <c r="D5" s="13">
        <v>141.0</v>
      </c>
      <c r="E5" s="11">
        <f t="shared" si="2"/>
        <v>6</v>
      </c>
      <c r="F5" s="14">
        <v>1182.6</v>
      </c>
      <c r="G5" s="11">
        <f t="shared" si="3"/>
        <v>7095.6</v>
      </c>
      <c r="H5" s="15">
        <v>5000.0</v>
      </c>
      <c r="I5" s="11">
        <f t="shared" si="4"/>
        <v>12095.6</v>
      </c>
      <c r="J5" s="16">
        <v>45935.0</v>
      </c>
      <c r="K5" s="17" t="s">
        <v>149</v>
      </c>
      <c r="L5" s="17" t="s">
        <v>143</v>
      </c>
      <c r="M5" s="15">
        <f t="shared" si="5"/>
        <v>0</v>
      </c>
      <c r="N5" s="12"/>
      <c r="O5" s="12"/>
      <c r="P5" s="15">
        <f t="shared" si="6"/>
        <v>12095.6</v>
      </c>
      <c r="Q5" s="15"/>
    </row>
    <row r="6" ht="22.5" customHeight="1">
      <c r="A6" s="11">
        <v>4.0</v>
      </c>
      <c r="B6" s="12" t="str">
        <f>Usuarios!B5 &amp; " " &amp; Usuarios!C5 &amp; " " &amp; Usuarios!D5
</f>
        <v>Cristian  Oyarzo </v>
      </c>
      <c r="C6" s="11">
        <f t="shared" si="1"/>
        <v>654</v>
      </c>
      <c r="D6" s="13">
        <v>683.0</v>
      </c>
      <c r="E6" s="11">
        <f t="shared" si="2"/>
        <v>29</v>
      </c>
      <c r="F6" s="14">
        <v>1182.6</v>
      </c>
      <c r="G6" s="11">
        <f t="shared" si="3"/>
        <v>34295.4</v>
      </c>
      <c r="H6" s="15">
        <v>5000.0</v>
      </c>
      <c r="I6" s="11">
        <f t="shared" si="4"/>
        <v>39295.4</v>
      </c>
      <c r="J6" s="16">
        <v>45935.0</v>
      </c>
      <c r="K6" s="17" t="s">
        <v>149</v>
      </c>
      <c r="L6" s="17" t="s">
        <v>143</v>
      </c>
      <c r="M6" s="15">
        <f t="shared" si="5"/>
        <v>0</v>
      </c>
      <c r="N6" s="12"/>
      <c r="O6" s="12"/>
      <c r="P6" s="15">
        <f t="shared" si="6"/>
        <v>39295.4</v>
      </c>
      <c r="Q6" s="15"/>
    </row>
    <row r="7" ht="22.5" customHeight="1">
      <c r="A7" s="11">
        <v>36.0</v>
      </c>
      <c r="B7" s="12" t="str">
        <f>Usuarios!B37 &amp; " " &amp; Usuarios!C37 &amp; " " &amp; Usuarios!D37
</f>
        <v>Danilo  Soto  Soto</v>
      </c>
      <c r="C7" s="11">
        <f t="shared" si="1"/>
        <v>0</v>
      </c>
      <c r="D7" s="13"/>
      <c r="E7" s="11">
        <f t="shared" si="2"/>
        <v>0</v>
      </c>
      <c r="F7" s="14">
        <v>1182.6</v>
      </c>
      <c r="G7" s="11">
        <f t="shared" si="3"/>
        <v>0</v>
      </c>
      <c r="H7" s="15">
        <v>5000.0</v>
      </c>
      <c r="I7" s="11">
        <f t="shared" si="4"/>
        <v>5000</v>
      </c>
      <c r="J7" s="16">
        <v>45935.0</v>
      </c>
      <c r="K7" s="17" t="s">
        <v>149</v>
      </c>
      <c r="L7" s="17" t="s">
        <v>143</v>
      </c>
      <c r="M7" s="15">
        <f t="shared" si="5"/>
        <v>0</v>
      </c>
      <c r="N7" s="12"/>
      <c r="O7" s="12"/>
      <c r="P7" s="15">
        <f t="shared" si="6"/>
        <v>5000</v>
      </c>
      <c r="Q7" s="15"/>
      <c r="R7" s="18"/>
    </row>
    <row r="8" ht="22.5" customHeight="1">
      <c r="A8" s="11">
        <v>10.0</v>
      </c>
      <c r="B8" s="12" t="str">
        <f>Usuarios!B11 &amp; " " &amp; Usuarios!C11 &amp; " " &amp; Usuarios!D11
</f>
        <v>David  Cartes </v>
      </c>
      <c r="C8" s="11">
        <f t="shared" si="1"/>
        <v>161</v>
      </c>
      <c r="D8" s="13">
        <v>172.0</v>
      </c>
      <c r="E8" s="11">
        <f t="shared" si="2"/>
        <v>11</v>
      </c>
      <c r="F8" s="14">
        <v>1182.6</v>
      </c>
      <c r="G8" s="11">
        <f t="shared" si="3"/>
        <v>13008.6</v>
      </c>
      <c r="H8" s="15">
        <v>5000.0</v>
      </c>
      <c r="I8" s="11">
        <f t="shared" si="4"/>
        <v>18008.6</v>
      </c>
      <c r="J8" s="16">
        <v>45936.0</v>
      </c>
      <c r="K8" s="17" t="s">
        <v>149</v>
      </c>
      <c r="L8" s="17" t="s">
        <v>143</v>
      </c>
      <c r="M8" s="15">
        <f t="shared" si="5"/>
        <v>0</v>
      </c>
      <c r="N8" s="12"/>
      <c r="O8" s="12"/>
      <c r="P8" s="15">
        <f t="shared" si="6"/>
        <v>18008.6</v>
      </c>
      <c r="Q8" s="15"/>
    </row>
    <row r="9" ht="22.5" customHeight="1">
      <c r="A9" s="11">
        <v>19.0</v>
      </c>
      <c r="B9" s="12" t="str">
        <f>Usuarios!B20 &amp; " " &amp; Usuarios!C20 &amp; " " &amp; Usuarios!D20
</f>
        <v>Eduardo  Chavez </v>
      </c>
      <c r="C9" s="11">
        <f t="shared" si="1"/>
        <v>117</v>
      </c>
      <c r="D9" s="13">
        <v>123.0</v>
      </c>
      <c r="E9" s="11">
        <f t="shared" si="2"/>
        <v>6</v>
      </c>
      <c r="F9" s="14">
        <v>1182.6</v>
      </c>
      <c r="G9" s="11">
        <f t="shared" si="3"/>
        <v>7095.6</v>
      </c>
      <c r="H9" s="15">
        <v>5000.0</v>
      </c>
      <c r="I9" s="11">
        <f t="shared" si="4"/>
        <v>12095.6</v>
      </c>
      <c r="J9" s="16">
        <v>45935.0</v>
      </c>
      <c r="K9" s="17" t="s">
        <v>149</v>
      </c>
      <c r="L9" s="17" t="s">
        <v>146</v>
      </c>
      <c r="M9" s="15">
        <f t="shared" si="5"/>
        <v>12095.6</v>
      </c>
      <c r="N9" s="12"/>
      <c r="O9" s="12"/>
      <c r="P9" s="15">
        <f t="shared" si="6"/>
        <v>0</v>
      </c>
      <c r="Q9" s="15"/>
    </row>
    <row r="10" ht="22.5" customHeight="1">
      <c r="A10" s="11"/>
      <c r="B10" s="12" t="str">
        <f>Usuarios!B21 &amp; " " &amp; Usuarios!C21 &amp; " " &amp; Usuarios!D21
</f>
        <v>Juan  Chavez </v>
      </c>
      <c r="C10" s="11" t="str">
        <f t="shared" si="1"/>
        <v>#NUM!</v>
      </c>
      <c r="D10" s="13"/>
      <c r="E10" s="11" t="str">
        <f t="shared" si="2"/>
        <v>#NUM!</v>
      </c>
      <c r="F10" s="14"/>
      <c r="G10" s="11" t="str">
        <f t="shared" si="3"/>
        <v>#NUM!</v>
      </c>
      <c r="H10" s="15"/>
      <c r="I10" s="11" t="str">
        <f t="shared" si="4"/>
        <v>#NUM!</v>
      </c>
      <c r="J10" s="16"/>
      <c r="K10" s="38"/>
      <c r="L10" s="38"/>
      <c r="M10" s="15">
        <f t="shared" si="5"/>
        <v>0</v>
      </c>
      <c r="N10" s="12"/>
      <c r="O10" s="12"/>
      <c r="P10" s="15" t="str">
        <f t="shared" si="6"/>
        <v>#NUM!</v>
      </c>
      <c r="Q10" s="15"/>
    </row>
    <row r="11" ht="22.5" customHeight="1">
      <c r="A11" s="11">
        <v>52.0</v>
      </c>
      <c r="B11" s="12" t="str">
        <f>Usuarios!B53 &amp; " " &amp; Usuarios!C53 &amp; " " &amp; Usuarios!D53
</f>
        <v>Esteban  Oyarzo  Levil</v>
      </c>
      <c r="C11" s="11" t="str">
        <f t="shared" si="1"/>
        <v>#NUM!</v>
      </c>
      <c r="D11" s="13"/>
      <c r="E11" s="11" t="str">
        <f t="shared" si="2"/>
        <v>#NUM!</v>
      </c>
      <c r="F11" s="14">
        <v>1182.6</v>
      </c>
      <c r="G11" s="11" t="str">
        <f t="shared" si="3"/>
        <v>#NUM!</v>
      </c>
      <c r="H11" s="15">
        <v>5000.0</v>
      </c>
      <c r="I11" s="11" t="str">
        <f t="shared" si="4"/>
        <v>#NUM!</v>
      </c>
      <c r="J11" s="16"/>
      <c r="K11" s="17" t="s">
        <v>149</v>
      </c>
      <c r="L11" s="17" t="s">
        <v>143</v>
      </c>
      <c r="M11" s="15">
        <f t="shared" si="5"/>
        <v>0</v>
      </c>
      <c r="N11" s="12"/>
      <c r="O11" s="12"/>
      <c r="P11" s="15" t="str">
        <f t="shared" si="6"/>
        <v>#NUM!</v>
      </c>
      <c r="Q11" s="15"/>
    </row>
    <row r="12" ht="22.5" customHeight="1">
      <c r="A12" s="11">
        <v>8.0</v>
      </c>
      <c r="B12" s="12" t="str">
        <f>Usuarios!B9 &amp; " " &amp; Usuarios!C9 &amp; " " &amp; Usuarios!D9
</f>
        <v>Gabriel  Farias </v>
      </c>
      <c r="C12" s="11">
        <f t="shared" si="1"/>
        <v>573</v>
      </c>
      <c r="D12" s="13">
        <v>601.0</v>
      </c>
      <c r="E12" s="11">
        <f t="shared" si="2"/>
        <v>28</v>
      </c>
      <c r="F12" s="14">
        <v>1182.6</v>
      </c>
      <c r="G12" s="11">
        <f t="shared" si="3"/>
        <v>33112.8</v>
      </c>
      <c r="H12" s="15">
        <v>5000.0</v>
      </c>
      <c r="I12" s="11">
        <f t="shared" si="4"/>
        <v>38112.8</v>
      </c>
      <c r="J12" s="16">
        <v>45935.0</v>
      </c>
      <c r="K12" s="17" t="s">
        <v>149</v>
      </c>
      <c r="L12" s="17" t="s">
        <v>143</v>
      </c>
      <c r="M12" s="15">
        <f t="shared" si="5"/>
        <v>0</v>
      </c>
      <c r="N12" s="12"/>
      <c r="O12" s="12"/>
      <c r="P12" s="15">
        <f t="shared" si="6"/>
        <v>38112.8</v>
      </c>
      <c r="Q12" s="15"/>
    </row>
    <row r="13" ht="22.5" customHeight="1">
      <c r="A13" s="11">
        <v>2.0</v>
      </c>
      <c r="B13" s="12" t="str">
        <f>Usuarios!B3 &amp; " " &amp; Usuarios!C3 &amp; " " &amp; Usuarios!D3
</f>
        <v>Gabriel Barria Zuñiga</v>
      </c>
      <c r="C13" s="11">
        <f t="shared" si="1"/>
        <v>391</v>
      </c>
      <c r="D13" s="13">
        <v>406.0</v>
      </c>
      <c r="E13" s="11">
        <f t="shared" si="2"/>
        <v>15</v>
      </c>
      <c r="F13" s="14">
        <v>1182.6</v>
      </c>
      <c r="G13" s="11">
        <f t="shared" si="3"/>
        <v>17739</v>
      </c>
      <c r="H13" s="15">
        <v>5000.0</v>
      </c>
      <c r="I13" s="11">
        <f t="shared" si="4"/>
        <v>22739</v>
      </c>
      <c r="J13" s="16">
        <v>45935.0</v>
      </c>
      <c r="K13" s="17" t="s">
        <v>149</v>
      </c>
      <c r="L13" s="17" t="s">
        <v>143</v>
      </c>
      <c r="M13" s="15">
        <f t="shared" si="5"/>
        <v>0</v>
      </c>
      <c r="N13" s="16"/>
      <c r="O13" s="12"/>
      <c r="P13" s="15">
        <f t="shared" si="6"/>
        <v>22739</v>
      </c>
      <c r="Q13" s="15"/>
    </row>
    <row r="14" ht="22.5" customHeight="1">
      <c r="A14" s="11">
        <v>3.0</v>
      </c>
      <c r="B14" s="12" t="str">
        <f>Usuarios!B4 &amp; " " &amp; Usuarios!C4 &amp; " " &amp; Usuarios!D4
</f>
        <v>Gino  Reyes </v>
      </c>
      <c r="C14" s="11">
        <f t="shared" si="1"/>
        <v>3</v>
      </c>
      <c r="D14" s="13">
        <v>3.0</v>
      </c>
      <c r="E14" s="11">
        <f t="shared" si="2"/>
        <v>0</v>
      </c>
      <c r="F14" s="14">
        <v>1182.6</v>
      </c>
      <c r="G14" s="11">
        <f t="shared" si="3"/>
        <v>0</v>
      </c>
      <c r="H14" s="15">
        <v>5000.0</v>
      </c>
      <c r="I14" s="11">
        <f t="shared" si="4"/>
        <v>5000</v>
      </c>
      <c r="J14" s="16">
        <v>45935.0</v>
      </c>
      <c r="K14" s="17" t="s">
        <v>149</v>
      </c>
      <c r="L14" s="17" t="s">
        <v>143</v>
      </c>
      <c r="M14" s="15">
        <f t="shared" si="5"/>
        <v>0</v>
      </c>
      <c r="N14" s="12"/>
      <c r="O14" s="12"/>
      <c r="P14" s="15">
        <f t="shared" si="6"/>
        <v>5000</v>
      </c>
      <c r="Q14" s="15"/>
    </row>
    <row r="15" ht="22.5" customHeight="1">
      <c r="A15" s="11">
        <v>39.0</v>
      </c>
      <c r="B15" s="12" t="str">
        <f>Usuarios!B40 &amp; " " &amp; Usuarios!C40 &amp; " " &amp; Usuarios!D40
</f>
        <v>Gloria  Alvarez </v>
      </c>
      <c r="C15" s="11">
        <f t="shared" si="1"/>
        <v>14</v>
      </c>
      <c r="D15" s="13">
        <v>20.0</v>
      </c>
      <c r="E15" s="11">
        <f t="shared" si="2"/>
        <v>6</v>
      </c>
      <c r="F15" s="14">
        <v>1182.6</v>
      </c>
      <c r="G15" s="11">
        <f t="shared" si="3"/>
        <v>7095.6</v>
      </c>
      <c r="H15" s="15">
        <v>5000.0</v>
      </c>
      <c r="I15" s="11">
        <f t="shared" si="4"/>
        <v>12095.6</v>
      </c>
      <c r="J15" s="16">
        <v>45935.0</v>
      </c>
      <c r="K15" s="17" t="s">
        <v>149</v>
      </c>
      <c r="L15" s="17" t="s">
        <v>143</v>
      </c>
      <c r="M15" s="15">
        <f t="shared" si="5"/>
        <v>0</v>
      </c>
      <c r="N15" s="12"/>
      <c r="O15" s="12"/>
      <c r="P15" s="15">
        <f t="shared" si="6"/>
        <v>12095.6</v>
      </c>
      <c r="Q15" s="15"/>
    </row>
    <row r="16" ht="22.5" customHeight="1">
      <c r="A16" s="11">
        <v>40.0</v>
      </c>
      <c r="B16" s="12" t="str">
        <f>Usuarios!B41 &amp; " " &amp; Usuarios!C41 &amp; " " &amp; Usuarios!D41
</f>
        <v>Gloria  Levil </v>
      </c>
      <c r="C16" s="11">
        <f t="shared" si="1"/>
        <v>99</v>
      </c>
      <c r="D16" s="13">
        <v>100.0</v>
      </c>
      <c r="E16" s="11">
        <f t="shared" si="2"/>
        <v>1</v>
      </c>
      <c r="F16" s="14">
        <v>1182.6</v>
      </c>
      <c r="G16" s="11">
        <f t="shared" si="3"/>
        <v>1182.6</v>
      </c>
      <c r="H16" s="15">
        <v>5000.0</v>
      </c>
      <c r="I16" s="11">
        <f t="shared" si="4"/>
        <v>6182.6</v>
      </c>
      <c r="J16" s="16">
        <v>45935.0</v>
      </c>
      <c r="K16" s="17" t="s">
        <v>149</v>
      </c>
      <c r="L16" s="17" t="s">
        <v>143</v>
      </c>
      <c r="M16" s="15">
        <f t="shared" si="5"/>
        <v>0</v>
      </c>
      <c r="N16" s="12"/>
      <c r="O16" s="12"/>
      <c r="P16" s="15">
        <f t="shared" si="6"/>
        <v>6182.6</v>
      </c>
      <c r="Q16" s="15"/>
    </row>
    <row r="17" ht="22.5" customHeight="1">
      <c r="A17" s="11">
        <v>50.0</v>
      </c>
      <c r="B17" s="12" t="str">
        <f>Usuarios!B51 &amp; " " &amp; Usuarios!C51 &amp; " " &amp; Usuarios!D51
</f>
        <v>Gloria Isamar  Velasquez  Almonacid</v>
      </c>
      <c r="C17" s="11">
        <f t="shared" si="1"/>
        <v>76</v>
      </c>
      <c r="D17" s="13">
        <v>83.0</v>
      </c>
      <c r="E17" s="11">
        <f t="shared" si="2"/>
        <v>7</v>
      </c>
      <c r="F17" s="14">
        <v>1182.6</v>
      </c>
      <c r="G17" s="11">
        <f t="shared" si="3"/>
        <v>8278.2</v>
      </c>
      <c r="H17" s="15">
        <v>5000.0</v>
      </c>
      <c r="I17" s="11">
        <f t="shared" si="4"/>
        <v>13278.2</v>
      </c>
      <c r="J17" s="16">
        <v>45935.0</v>
      </c>
      <c r="K17" s="17" t="s">
        <v>149</v>
      </c>
      <c r="L17" s="17" t="s">
        <v>143</v>
      </c>
      <c r="M17" s="15">
        <f t="shared" si="5"/>
        <v>0</v>
      </c>
      <c r="N17" s="12"/>
      <c r="O17" s="12"/>
      <c r="P17" s="15">
        <f t="shared" si="6"/>
        <v>13278.2</v>
      </c>
      <c r="Q17" s="15"/>
    </row>
    <row r="18" ht="22.5" customHeight="1">
      <c r="A18" s="11">
        <v>26.0</v>
      </c>
      <c r="B18" s="12" t="str">
        <f>Usuarios!B27 &amp; " " &amp; Usuarios!C27 &amp; " " &amp; Usuarios!D27
</f>
        <v>Guido  Quintuy </v>
      </c>
      <c r="C18" s="11" t="str">
        <f t="shared" si="1"/>
        <v>#NUM!</v>
      </c>
      <c r="D18" s="13"/>
      <c r="E18" s="11"/>
      <c r="F18" s="14"/>
      <c r="G18" s="11"/>
      <c r="H18" s="15"/>
      <c r="I18" s="11"/>
      <c r="J18" s="16"/>
      <c r="K18" s="17" t="s">
        <v>149</v>
      </c>
      <c r="L18" s="17" t="s">
        <v>144</v>
      </c>
      <c r="M18" s="15"/>
      <c r="N18" s="12"/>
      <c r="O18" s="12"/>
      <c r="P18" s="15"/>
      <c r="Q18" s="15"/>
    </row>
    <row r="19" ht="22.5" customHeight="1">
      <c r="A19" s="11">
        <v>55.0</v>
      </c>
      <c r="B19" s="12" t="str">
        <f>Usuarios!B56 &amp; " " &amp; Usuarios!C56 &amp; " " &amp; Usuarios!D56
</f>
        <v>Guido  Quintuy - Sitio vacío </v>
      </c>
      <c r="C19" s="11">
        <f t="shared" si="1"/>
        <v>0</v>
      </c>
      <c r="D19" s="13">
        <v>0.0</v>
      </c>
      <c r="E19" s="11">
        <f t="shared" ref="E19:E46" si="7">D19-C19</f>
        <v>0</v>
      </c>
      <c r="F19" s="14">
        <v>1182.6</v>
      </c>
      <c r="G19" s="11">
        <f t="shared" ref="G19:G46" si="8">E19*F19</f>
        <v>0</v>
      </c>
      <c r="H19" s="15">
        <v>5000.0</v>
      </c>
      <c r="I19" s="11">
        <f t="shared" ref="I19:I46" si="9">E19*F19+H19</f>
        <v>5000</v>
      </c>
      <c r="J19" s="16">
        <v>45935.0</v>
      </c>
      <c r="K19" s="17" t="s">
        <v>149</v>
      </c>
      <c r="L19" s="17" t="s">
        <v>143</v>
      </c>
      <c r="M19" s="15">
        <f t="shared" ref="M19:M41" si="10">IF(L19="Pagado", I19, 0)</f>
        <v>0</v>
      </c>
      <c r="N19" s="12"/>
      <c r="O19" s="12"/>
      <c r="P19" s="15">
        <f t="shared" ref="P19:P58" si="11">IF(L19="NO APLICA",0, (I19-M19))</f>
        <v>5000</v>
      </c>
      <c r="Q19" s="15"/>
    </row>
    <row r="20" ht="22.5" customHeight="1">
      <c r="A20" s="11">
        <v>25.0</v>
      </c>
      <c r="B20" s="12" t="str">
        <f>Usuarios!B26 &amp; " " &amp; Usuarios!C26 &amp; " " &amp; Usuarios!D26
</f>
        <v>Inés  Velasquez </v>
      </c>
      <c r="C20" s="11">
        <f t="shared" si="1"/>
        <v>139</v>
      </c>
      <c r="D20" s="13">
        <v>147.0</v>
      </c>
      <c r="E20" s="11">
        <f t="shared" si="7"/>
        <v>8</v>
      </c>
      <c r="F20" s="14">
        <v>1182.6</v>
      </c>
      <c r="G20" s="11">
        <f t="shared" si="8"/>
        <v>9460.8</v>
      </c>
      <c r="H20" s="15">
        <v>5000.0</v>
      </c>
      <c r="I20" s="11">
        <f t="shared" si="9"/>
        <v>14460.8</v>
      </c>
      <c r="J20" s="16">
        <v>45935.0</v>
      </c>
      <c r="K20" s="17" t="s">
        <v>149</v>
      </c>
      <c r="L20" s="17" t="s">
        <v>143</v>
      </c>
      <c r="M20" s="15">
        <f t="shared" si="10"/>
        <v>0</v>
      </c>
      <c r="N20" s="12"/>
      <c r="O20" s="12"/>
      <c r="P20" s="15">
        <f t="shared" si="11"/>
        <v>14460.8</v>
      </c>
      <c r="Q20" s="15"/>
    </row>
    <row r="21" ht="22.5" customHeight="1">
      <c r="A21" s="11">
        <v>17.0</v>
      </c>
      <c r="B21" s="12" t="str">
        <f>Usuarios!B18 &amp; " " &amp; Usuarios!C18 &amp; " " &amp; Usuarios!D18
</f>
        <v>Joaquin  Claramunt </v>
      </c>
      <c r="C21" s="11">
        <f t="shared" si="1"/>
        <v>222</v>
      </c>
      <c r="D21" s="13">
        <v>233.0</v>
      </c>
      <c r="E21" s="11">
        <f t="shared" si="7"/>
        <v>11</v>
      </c>
      <c r="F21" s="14">
        <v>1182.6</v>
      </c>
      <c r="G21" s="11">
        <f t="shared" si="8"/>
        <v>13008.6</v>
      </c>
      <c r="H21" s="15">
        <v>5000.0</v>
      </c>
      <c r="I21" s="11">
        <f t="shared" si="9"/>
        <v>18008.6</v>
      </c>
      <c r="J21" s="16">
        <v>45935.0</v>
      </c>
      <c r="K21" s="17" t="s">
        <v>149</v>
      </c>
      <c r="L21" s="17" t="s">
        <v>143</v>
      </c>
      <c r="M21" s="15">
        <f t="shared" si="10"/>
        <v>0</v>
      </c>
      <c r="N21" s="12"/>
      <c r="O21" s="12"/>
      <c r="P21" s="15">
        <f t="shared" si="11"/>
        <v>18008.6</v>
      </c>
      <c r="Q21" s="15"/>
    </row>
    <row r="22" ht="22.5" customHeight="1">
      <c r="A22" s="11">
        <v>35.0</v>
      </c>
      <c r="B22" s="12" t="str">
        <f>Usuarios!B36 &amp; " " &amp; Usuarios!C36 &amp; " " &amp; Usuarios!D36
</f>
        <v>José  Paredes </v>
      </c>
      <c r="C22" s="11" t="str">
        <f t="shared" si="1"/>
        <v>#NUM!</v>
      </c>
      <c r="D22" s="13">
        <v>0.0</v>
      </c>
      <c r="E22" s="11" t="str">
        <f t="shared" si="7"/>
        <v>#NUM!</v>
      </c>
      <c r="F22" s="14">
        <v>1182.6</v>
      </c>
      <c r="G22" s="11" t="str">
        <f t="shared" si="8"/>
        <v>#NUM!</v>
      </c>
      <c r="H22" s="15">
        <v>5000.0</v>
      </c>
      <c r="I22" s="11" t="str">
        <f t="shared" si="9"/>
        <v>#NUM!</v>
      </c>
      <c r="J22" s="16"/>
      <c r="K22" s="17" t="s">
        <v>149</v>
      </c>
      <c r="L22" s="17" t="s">
        <v>143</v>
      </c>
      <c r="M22" s="15">
        <f t="shared" si="10"/>
        <v>0</v>
      </c>
      <c r="N22" s="12"/>
      <c r="O22" s="12"/>
      <c r="P22" s="15" t="str">
        <f t="shared" si="11"/>
        <v>#NUM!</v>
      </c>
      <c r="Q22" s="15"/>
    </row>
    <row r="23" ht="22.5" customHeight="1">
      <c r="A23" s="11">
        <v>20.0</v>
      </c>
      <c r="B23" s="12" t="str">
        <f>Usuarios!B21 &amp; " " &amp; Usuarios!C21 &amp; " " &amp; Usuarios!D21
</f>
        <v>Juan  Chavez </v>
      </c>
      <c r="C23" s="11">
        <f t="shared" si="1"/>
        <v>29</v>
      </c>
      <c r="D23" s="13">
        <v>30.0</v>
      </c>
      <c r="E23" s="11">
        <f t="shared" si="7"/>
        <v>1</v>
      </c>
      <c r="F23" s="14">
        <v>1182.6</v>
      </c>
      <c r="G23" s="11">
        <f t="shared" si="8"/>
        <v>1182.6</v>
      </c>
      <c r="H23" s="15">
        <v>5000.0</v>
      </c>
      <c r="I23" s="11">
        <f t="shared" si="9"/>
        <v>6182.6</v>
      </c>
      <c r="J23" s="16">
        <v>45935.0</v>
      </c>
      <c r="K23" s="17" t="s">
        <v>149</v>
      </c>
      <c r="L23" s="17" t="s">
        <v>143</v>
      </c>
      <c r="M23" s="15">
        <f t="shared" si="10"/>
        <v>0</v>
      </c>
      <c r="N23" s="12"/>
      <c r="O23" s="12"/>
      <c r="P23" s="15">
        <f t="shared" si="11"/>
        <v>6182.6</v>
      </c>
      <c r="Q23" s="15"/>
    </row>
    <row r="24" ht="22.5" customHeight="1">
      <c r="A24" s="11">
        <v>42.0</v>
      </c>
      <c r="B24" s="12" t="str">
        <f>Usuarios!B43 &amp; " " &amp; Usuarios!C43 &amp; " " &amp; Usuarios!D43
</f>
        <v>Leo  Soto </v>
      </c>
      <c r="C24" s="11">
        <f t="shared" si="1"/>
        <v>0</v>
      </c>
      <c r="D24" s="13">
        <v>0.0</v>
      </c>
      <c r="E24" s="11">
        <f t="shared" si="7"/>
        <v>0</v>
      </c>
      <c r="F24" s="14">
        <v>1182.6</v>
      </c>
      <c r="G24" s="11">
        <f t="shared" si="8"/>
        <v>0</v>
      </c>
      <c r="H24" s="15">
        <v>5000.0</v>
      </c>
      <c r="I24" s="11">
        <f t="shared" si="9"/>
        <v>5000</v>
      </c>
      <c r="J24" s="16">
        <v>45935.0</v>
      </c>
      <c r="K24" s="17" t="s">
        <v>149</v>
      </c>
      <c r="L24" s="17" t="s">
        <v>143</v>
      </c>
      <c r="M24" s="15">
        <f t="shared" si="10"/>
        <v>0</v>
      </c>
      <c r="N24" s="12"/>
      <c r="O24" s="12"/>
      <c r="P24" s="15">
        <f t="shared" si="11"/>
        <v>5000</v>
      </c>
      <c r="Q24" s="15"/>
    </row>
    <row r="25" ht="22.5" customHeight="1">
      <c r="A25" s="11">
        <v>57.0</v>
      </c>
      <c r="B25" s="12" t="str">
        <f>Usuarios!B58 &amp; " " &amp; Usuarios!C58 &amp; " " &amp; Usuarios!D58
</f>
        <v>Lishby  Fuentes  Diaz</v>
      </c>
      <c r="C25" s="11">
        <f t="shared" si="1"/>
        <v>34</v>
      </c>
      <c r="D25" s="13">
        <v>46.0</v>
      </c>
      <c r="E25" s="11">
        <f t="shared" si="7"/>
        <v>12</v>
      </c>
      <c r="F25" s="14">
        <v>1182.6</v>
      </c>
      <c r="G25" s="11">
        <f t="shared" si="8"/>
        <v>14191.2</v>
      </c>
      <c r="H25" s="15">
        <v>5000.0</v>
      </c>
      <c r="I25" s="11">
        <f t="shared" si="9"/>
        <v>19191.2</v>
      </c>
      <c r="J25" s="16">
        <v>45935.0</v>
      </c>
      <c r="K25" s="17" t="s">
        <v>149</v>
      </c>
      <c r="L25" s="17" t="s">
        <v>143</v>
      </c>
      <c r="M25" s="15">
        <f t="shared" si="10"/>
        <v>0</v>
      </c>
      <c r="N25" s="12"/>
      <c r="O25" s="12"/>
      <c r="P25" s="15">
        <f t="shared" si="11"/>
        <v>19191.2</v>
      </c>
      <c r="Q25" s="15"/>
    </row>
    <row r="26" ht="22.5" customHeight="1">
      <c r="A26" s="11">
        <v>48.0</v>
      </c>
      <c r="B26" s="12" t="str">
        <f>Usuarios!B49 &amp; " " &amp; Usuarios!C49 &amp; " " &amp; Usuarios!D49
</f>
        <v>Luis Vicente   Mondaca  Muñoz</v>
      </c>
      <c r="C26" s="11">
        <f t="shared" si="1"/>
        <v>377</v>
      </c>
      <c r="D26" s="13">
        <v>389.0</v>
      </c>
      <c r="E26" s="11">
        <f t="shared" si="7"/>
        <v>12</v>
      </c>
      <c r="F26" s="14">
        <v>1182.6</v>
      </c>
      <c r="G26" s="11">
        <f t="shared" si="8"/>
        <v>14191.2</v>
      </c>
      <c r="H26" s="15">
        <v>5000.0</v>
      </c>
      <c r="I26" s="11">
        <f t="shared" si="9"/>
        <v>19191.2</v>
      </c>
      <c r="J26" s="16">
        <v>45935.0</v>
      </c>
      <c r="K26" s="17" t="s">
        <v>149</v>
      </c>
      <c r="L26" s="17" t="s">
        <v>143</v>
      </c>
      <c r="M26" s="15">
        <f t="shared" si="10"/>
        <v>0</v>
      </c>
      <c r="N26" s="12"/>
      <c r="O26" s="12"/>
      <c r="P26" s="15">
        <f t="shared" si="11"/>
        <v>19191.2</v>
      </c>
      <c r="Q26" s="15"/>
    </row>
    <row r="27" ht="22.5" customHeight="1">
      <c r="A27" s="11">
        <v>30.0</v>
      </c>
      <c r="B27" s="12" t="str">
        <f>Usuarios!B31 &amp; " " &amp; Usuarios!C31 &amp; " " &amp; Usuarios!D31
</f>
        <v>Luz  Maldonado </v>
      </c>
      <c r="C27" s="11" t="str">
        <f t="shared" si="1"/>
        <v>#NUM!</v>
      </c>
      <c r="D27" s="13"/>
      <c r="E27" s="11" t="str">
        <f t="shared" si="7"/>
        <v>#NUM!</v>
      </c>
      <c r="F27" s="14">
        <v>1182.6</v>
      </c>
      <c r="G27" s="11" t="str">
        <f t="shared" si="8"/>
        <v>#NUM!</v>
      </c>
      <c r="H27" s="15">
        <v>5000.0</v>
      </c>
      <c r="I27" s="11" t="str">
        <f t="shared" si="9"/>
        <v>#NUM!</v>
      </c>
      <c r="J27" s="16"/>
      <c r="K27" s="17" t="s">
        <v>149</v>
      </c>
      <c r="L27" s="17" t="s">
        <v>143</v>
      </c>
      <c r="M27" s="15">
        <f t="shared" si="10"/>
        <v>0</v>
      </c>
      <c r="N27" s="12"/>
      <c r="O27" s="12"/>
      <c r="P27" s="15" t="str">
        <f t="shared" si="11"/>
        <v>#NUM!</v>
      </c>
      <c r="Q27" s="15"/>
    </row>
    <row r="28" ht="22.5" customHeight="1">
      <c r="A28" s="11">
        <v>7.0</v>
      </c>
      <c r="B28" s="12" t="str">
        <f>Usuarios!B8 &amp; " " &amp; Usuarios!C8 &amp; " " &amp; Usuarios!D8
</f>
        <v>Marcelo  Millanao </v>
      </c>
      <c r="C28" s="11">
        <f t="shared" si="1"/>
        <v>299</v>
      </c>
      <c r="D28" s="13">
        <v>309.0</v>
      </c>
      <c r="E28" s="11">
        <f t="shared" si="7"/>
        <v>10</v>
      </c>
      <c r="F28" s="14">
        <v>1182.6</v>
      </c>
      <c r="G28" s="11">
        <f t="shared" si="8"/>
        <v>11826</v>
      </c>
      <c r="H28" s="15">
        <v>5000.0</v>
      </c>
      <c r="I28" s="11">
        <f t="shared" si="9"/>
        <v>16826</v>
      </c>
      <c r="J28" s="16">
        <v>45935.0</v>
      </c>
      <c r="K28" s="17" t="s">
        <v>149</v>
      </c>
      <c r="L28" s="17" t="s">
        <v>143</v>
      </c>
      <c r="M28" s="15">
        <f t="shared" si="10"/>
        <v>0</v>
      </c>
      <c r="N28" s="12"/>
      <c r="O28" s="12"/>
      <c r="P28" s="15">
        <f t="shared" si="11"/>
        <v>16826</v>
      </c>
      <c r="Q28" s="15"/>
    </row>
    <row r="29" ht="22.5" customHeight="1">
      <c r="A29" s="11">
        <v>51.0</v>
      </c>
      <c r="B29" s="12" t="str">
        <f>Usuarios!B52 &amp; " " &amp; Usuarios!C52 &amp; " " &amp; Usuarios!D52
</f>
        <v>Maria  Manquian </v>
      </c>
      <c r="C29" s="11" t="str">
        <f t="shared" si="1"/>
        <v>#NUM!</v>
      </c>
      <c r="D29" s="13"/>
      <c r="E29" s="11" t="str">
        <f t="shared" si="7"/>
        <v>#NUM!</v>
      </c>
      <c r="F29" s="14">
        <v>1182.6</v>
      </c>
      <c r="G29" s="11" t="str">
        <f t="shared" si="8"/>
        <v>#NUM!</v>
      </c>
      <c r="H29" s="15">
        <v>5000.0</v>
      </c>
      <c r="I29" s="11" t="str">
        <f t="shared" si="9"/>
        <v>#NUM!</v>
      </c>
      <c r="J29" s="16"/>
      <c r="K29" s="17" t="s">
        <v>149</v>
      </c>
      <c r="L29" s="17" t="s">
        <v>143</v>
      </c>
      <c r="M29" s="15">
        <f t="shared" si="10"/>
        <v>0</v>
      </c>
      <c r="N29" s="12"/>
      <c r="O29" s="12"/>
      <c r="P29" s="15" t="str">
        <f t="shared" si="11"/>
        <v>#NUM!</v>
      </c>
      <c r="Q29" s="15"/>
    </row>
    <row r="30" ht="22.5" customHeight="1">
      <c r="A30" s="11">
        <v>9.0</v>
      </c>
      <c r="B30" s="12" t="str">
        <f>Usuarios!B10 &amp; " " &amp; Usuarios!C10 &amp; " " &amp; Usuarios!D10
</f>
        <v>Maria  Marin </v>
      </c>
      <c r="C30" s="11">
        <f t="shared" si="1"/>
        <v>223</v>
      </c>
      <c r="D30" s="13">
        <v>232.0</v>
      </c>
      <c r="E30" s="11">
        <f t="shared" si="7"/>
        <v>9</v>
      </c>
      <c r="F30" s="14">
        <v>1182.6</v>
      </c>
      <c r="G30" s="11">
        <f t="shared" si="8"/>
        <v>10643.4</v>
      </c>
      <c r="H30" s="15">
        <v>5000.0</v>
      </c>
      <c r="I30" s="11">
        <f t="shared" si="9"/>
        <v>15643.4</v>
      </c>
      <c r="J30" s="16">
        <v>45935.0</v>
      </c>
      <c r="K30" s="17" t="s">
        <v>149</v>
      </c>
      <c r="L30" s="17" t="s">
        <v>143</v>
      </c>
      <c r="M30" s="15">
        <f t="shared" si="10"/>
        <v>0</v>
      </c>
      <c r="N30" s="12"/>
      <c r="O30" s="12"/>
      <c r="P30" s="15">
        <f t="shared" si="11"/>
        <v>15643.4</v>
      </c>
      <c r="Q30" s="15"/>
    </row>
    <row r="31" ht="22.5" customHeight="1">
      <c r="A31" s="11">
        <v>33.0</v>
      </c>
      <c r="B31" s="12" t="str">
        <f>Usuarios!B34 &amp; " " &amp; Usuarios!C34 &amp; " " &amp; Usuarios!D34
</f>
        <v>Maria Oliva  Soto  Almonacid</v>
      </c>
      <c r="C31" s="11">
        <f t="shared" si="1"/>
        <v>57</v>
      </c>
      <c r="D31" s="13">
        <v>59.0</v>
      </c>
      <c r="E31" s="11">
        <f t="shared" si="7"/>
        <v>2</v>
      </c>
      <c r="F31" s="14">
        <v>1182.6</v>
      </c>
      <c r="G31" s="11">
        <f t="shared" si="8"/>
        <v>2365.2</v>
      </c>
      <c r="H31" s="15">
        <v>5000.0</v>
      </c>
      <c r="I31" s="11">
        <f t="shared" si="9"/>
        <v>7365.2</v>
      </c>
      <c r="J31" s="16">
        <v>45935.0</v>
      </c>
      <c r="K31" s="17" t="s">
        <v>149</v>
      </c>
      <c r="L31" s="17" t="s">
        <v>146</v>
      </c>
      <c r="M31" s="15">
        <f t="shared" si="10"/>
        <v>7365.2</v>
      </c>
      <c r="N31" s="12"/>
      <c r="O31" s="12"/>
      <c r="P31" s="15">
        <f t="shared" si="11"/>
        <v>0</v>
      </c>
      <c r="Q31" s="15"/>
    </row>
    <row r="32" ht="22.5" customHeight="1">
      <c r="A32" s="11">
        <v>44.0</v>
      </c>
      <c r="B32" s="12" t="str">
        <f>Usuarios!B45 &amp; " " &amp; Usuarios!C45 &amp; " " &amp; Usuarios!D45
</f>
        <v>María Sonia  Quintui </v>
      </c>
      <c r="C32" s="11">
        <f t="shared" si="1"/>
        <v>19</v>
      </c>
      <c r="D32" s="13">
        <v>19.0</v>
      </c>
      <c r="E32" s="11">
        <f t="shared" si="7"/>
        <v>0</v>
      </c>
      <c r="F32" s="14">
        <v>1182.6</v>
      </c>
      <c r="G32" s="11">
        <f t="shared" si="8"/>
        <v>0</v>
      </c>
      <c r="H32" s="15">
        <v>5000.0</v>
      </c>
      <c r="I32" s="11">
        <f t="shared" si="9"/>
        <v>5000</v>
      </c>
      <c r="J32" s="16">
        <v>45935.0</v>
      </c>
      <c r="K32" s="17" t="s">
        <v>149</v>
      </c>
      <c r="L32" s="17" t="s">
        <v>143</v>
      </c>
      <c r="M32" s="15">
        <f t="shared" si="10"/>
        <v>0</v>
      </c>
      <c r="N32" s="12"/>
      <c r="O32" s="12"/>
      <c r="P32" s="15">
        <f t="shared" si="11"/>
        <v>5000</v>
      </c>
      <c r="Q32" s="15"/>
    </row>
    <row r="33" ht="22.5" customHeight="1">
      <c r="A33" s="11">
        <v>24.0</v>
      </c>
      <c r="B33" s="12" t="str">
        <f>Usuarios!B25 &amp; " " &amp; Usuarios!C25 &amp; " " &amp; Usuarios!D25
</f>
        <v>Maria Velasquez  Miranda</v>
      </c>
      <c r="C33" s="11">
        <f t="shared" si="1"/>
        <v>311</v>
      </c>
      <c r="D33" s="13">
        <v>314.0</v>
      </c>
      <c r="E33" s="11">
        <f t="shared" si="7"/>
        <v>3</v>
      </c>
      <c r="F33" s="14">
        <v>1182.6</v>
      </c>
      <c r="G33" s="11">
        <f t="shared" si="8"/>
        <v>3547.8</v>
      </c>
      <c r="H33" s="15">
        <v>5000.0</v>
      </c>
      <c r="I33" s="11">
        <f t="shared" si="9"/>
        <v>8547.8</v>
      </c>
      <c r="J33" s="16">
        <v>45935.0</v>
      </c>
      <c r="K33" s="17" t="s">
        <v>149</v>
      </c>
      <c r="L33" s="17" t="s">
        <v>143</v>
      </c>
      <c r="M33" s="15">
        <f t="shared" si="10"/>
        <v>0</v>
      </c>
      <c r="N33" s="12"/>
      <c r="O33" s="12"/>
      <c r="P33" s="15">
        <f t="shared" si="11"/>
        <v>8547.8</v>
      </c>
      <c r="Q33" s="15"/>
    </row>
    <row r="34" ht="22.5" customHeight="1">
      <c r="A34" s="11">
        <v>56.0</v>
      </c>
      <c r="B34" s="12" t="str">
        <f>Usuarios!B57 &amp; " " &amp; Usuarios!C57 &amp; " " &amp; Usuarios!D57
</f>
        <v>Mario  Velasquez </v>
      </c>
      <c r="C34" s="11">
        <f t="shared" si="1"/>
        <v>66</v>
      </c>
      <c r="D34" s="13">
        <v>77.0</v>
      </c>
      <c r="E34" s="11">
        <f t="shared" si="7"/>
        <v>11</v>
      </c>
      <c r="F34" s="14">
        <v>1182.6</v>
      </c>
      <c r="G34" s="11">
        <f t="shared" si="8"/>
        <v>13008.6</v>
      </c>
      <c r="H34" s="15">
        <v>5000.0</v>
      </c>
      <c r="I34" s="11">
        <f t="shared" si="9"/>
        <v>18008.6</v>
      </c>
      <c r="J34" s="16">
        <v>45935.0</v>
      </c>
      <c r="K34" s="17" t="s">
        <v>149</v>
      </c>
      <c r="L34" s="17" t="s">
        <v>143</v>
      </c>
      <c r="M34" s="15">
        <f t="shared" si="10"/>
        <v>0</v>
      </c>
      <c r="N34" s="12"/>
      <c r="O34" s="12"/>
      <c r="P34" s="15">
        <f t="shared" si="11"/>
        <v>18008.6</v>
      </c>
      <c r="Q34" s="15"/>
    </row>
    <row r="35" ht="22.5" customHeight="1">
      <c r="A35" s="11">
        <v>5.0</v>
      </c>
      <c r="B35" s="12" t="str">
        <f>Usuarios!B6 &amp; " " &amp; Usuarios!C6 &amp; " " &amp; Usuarios!D6
</f>
        <v>Marisol  Castro </v>
      </c>
      <c r="C35" s="11">
        <f t="shared" si="1"/>
        <v>138</v>
      </c>
      <c r="D35" s="13">
        <v>145.0</v>
      </c>
      <c r="E35" s="11">
        <f t="shared" si="7"/>
        <v>7</v>
      </c>
      <c r="F35" s="14">
        <v>1182.6</v>
      </c>
      <c r="G35" s="11">
        <f t="shared" si="8"/>
        <v>8278.2</v>
      </c>
      <c r="H35" s="15">
        <v>5000.0</v>
      </c>
      <c r="I35" s="11">
        <f t="shared" si="9"/>
        <v>13278.2</v>
      </c>
      <c r="J35" s="16">
        <v>45935.0</v>
      </c>
      <c r="K35" s="17" t="s">
        <v>149</v>
      </c>
      <c r="L35" s="17" t="s">
        <v>146</v>
      </c>
      <c r="M35" s="15">
        <f t="shared" si="10"/>
        <v>13278.2</v>
      </c>
      <c r="N35" s="12"/>
      <c r="O35" s="12"/>
      <c r="P35" s="15">
        <f t="shared" si="11"/>
        <v>0</v>
      </c>
      <c r="Q35" s="15"/>
    </row>
    <row r="36" ht="22.5" customHeight="1">
      <c r="A36" s="11">
        <v>6.0</v>
      </c>
      <c r="B36" s="12" t="str">
        <f>Usuarios!B7 &amp; " " &amp; Usuarios!C7 &amp; " " &amp; Usuarios!D7
</f>
        <v>Mauricio  Muñoz </v>
      </c>
      <c r="C36" s="11">
        <f t="shared" si="1"/>
        <v>238</v>
      </c>
      <c r="D36" s="13">
        <v>245.0</v>
      </c>
      <c r="E36" s="11">
        <f t="shared" si="7"/>
        <v>7</v>
      </c>
      <c r="F36" s="14">
        <v>1182.6</v>
      </c>
      <c r="G36" s="11">
        <f t="shared" si="8"/>
        <v>8278.2</v>
      </c>
      <c r="H36" s="15">
        <v>5000.0</v>
      </c>
      <c r="I36" s="11">
        <f t="shared" si="9"/>
        <v>13278.2</v>
      </c>
      <c r="J36" s="16">
        <v>45935.0</v>
      </c>
      <c r="K36" s="17" t="s">
        <v>149</v>
      </c>
      <c r="L36" s="17" t="s">
        <v>143</v>
      </c>
      <c r="M36" s="15">
        <f t="shared" si="10"/>
        <v>0</v>
      </c>
      <c r="N36" s="16"/>
      <c r="O36" s="12"/>
      <c r="P36" s="15">
        <f t="shared" si="11"/>
        <v>13278.2</v>
      </c>
      <c r="Q36" s="15"/>
    </row>
    <row r="37" ht="22.5" customHeight="1">
      <c r="A37" s="11">
        <v>46.0</v>
      </c>
      <c r="B37" s="12" t="str">
        <f>Usuarios!B47 &amp; " " &amp; Usuarios!C47 &amp; " " &amp; Usuarios!D47
</f>
        <v>Mauricio  Muñoz taller </v>
      </c>
      <c r="C37" s="11">
        <f t="shared" si="1"/>
        <v>0</v>
      </c>
      <c r="D37" s="13">
        <v>0.0</v>
      </c>
      <c r="E37" s="11">
        <f t="shared" si="7"/>
        <v>0</v>
      </c>
      <c r="F37" s="14">
        <v>1182.6</v>
      </c>
      <c r="G37" s="11">
        <f t="shared" si="8"/>
        <v>0</v>
      </c>
      <c r="H37" s="15">
        <v>5000.0</v>
      </c>
      <c r="I37" s="11">
        <f t="shared" si="9"/>
        <v>5000</v>
      </c>
      <c r="J37" s="16">
        <v>45935.0</v>
      </c>
      <c r="K37" s="17" t="s">
        <v>149</v>
      </c>
      <c r="L37" s="17" t="s">
        <v>143</v>
      </c>
      <c r="M37" s="15">
        <f t="shared" si="10"/>
        <v>0</v>
      </c>
      <c r="N37" s="12"/>
      <c r="O37" s="12"/>
      <c r="P37" s="15">
        <f t="shared" si="11"/>
        <v>5000</v>
      </c>
      <c r="Q37" s="15"/>
    </row>
    <row r="38" ht="22.5" customHeight="1">
      <c r="A38" s="11">
        <v>11.0</v>
      </c>
      <c r="B38" s="12" t="str">
        <f>Usuarios!B12 &amp; " " &amp; Usuarios!C12 &amp; " " &amp; Usuarios!D12
</f>
        <v>Miguel  Ñanco </v>
      </c>
      <c r="C38" s="11">
        <f t="shared" si="1"/>
        <v>3</v>
      </c>
      <c r="D38" s="13">
        <v>5.0</v>
      </c>
      <c r="E38" s="11">
        <f t="shared" si="7"/>
        <v>2</v>
      </c>
      <c r="F38" s="14">
        <v>1182.6</v>
      </c>
      <c r="G38" s="11">
        <f t="shared" si="8"/>
        <v>2365.2</v>
      </c>
      <c r="H38" s="15">
        <v>5000.0</v>
      </c>
      <c r="I38" s="11">
        <f t="shared" si="9"/>
        <v>7365.2</v>
      </c>
      <c r="J38" s="16">
        <v>45935.0</v>
      </c>
      <c r="K38" s="17" t="s">
        <v>149</v>
      </c>
      <c r="L38" s="17" t="s">
        <v>143</v>
      </c>
      <c r="M38" s="15">
        <f t="shared" si="10"/>
        <v>0</v>
      </c>
      <c r="N38" s="12"/>
      <c r="O38" s="12"/>
      <c r="P38" s="15">
        <f t="shared" si="11"/>
        <v>7365.2</v>
      </c>
      <c r="Q38" s="15"/>
    </row>
    <row r="39" ht="22.5" customHeight="1">
      <c r="A39" s="11">
        <v>29.0</v>
      </c>
      <c r="B39" s="12" t="str">
        <f>Usuarios!B30 &amp; " " &amp; Usuarios!C30 &amp; " " &amp; Usuarios!D30
</f>
        <v>Miriam  Alvarado </v>
      </c>
      <c r="C39" s="11">
        <f t="shared" si="1"/>
        <v>659</v>
      </c>
      <c r="D39" s="13">
        <v>677.0</v>
      </c>
      <c r="E39" s="11">
        <f t="shared" si="7"/>
        <v>18</v>
      </c>
      <c r="F39" s="14">
        <v>1182.6</v>
      </c>
      <c r="G39" s="11">
        <f t="shared" si="8"/>
        <v>21286.8</v>
      </c>
      <c r="H39" s="15">
        <v>5000.0</v>
      </c>
      <c r="I39" s="11">
        <f t="shared" si="9"/>
        <v>26286.8</v>
      </c>
      <c r="J39" s="16">
        <v>45935.0</v>
      </c>
      <c r="K39" s="17" t="s">
        <v>149</v>
      </c>
      <c r="L39" s="17" t="s">
        <v>143</v>
      </c>
      <c r="M39" s="15">
        <f t="shared" si="10"/>
        <v>0</v>
      </c>
      <c r="N39" s="12"/>
      <c r="O39" s="12"/>
      <c r="P39" s="15">
        <f t="shared" si="11"/>
        <v>26286.8</v>
      </c>
      <c r="Q39" s="15"/>
    </row>
    <row r="40" ht="22.5" customHeight="1">
      <c r="A40" s="11">
        <v>45.0</v>
      </c>
      <c r="B40" s="12" t="str">
        <f>Usuarios!B46 &amp; " " &amp; Usuarios!C46 &amp; " " &amp; Usuarios!D46
</f>
        <v>Monica  Cuello </v>
      </c>
      <c r="C40" s="11">
        <f t="shared" si="1"/>
        <v>0</v>
      </c>
      <c r="D40" s="13">
        <v>0.0</v>
      </c>
      <c r="E40" s="11">
        <f t="shared" si="7"/>
        <v>0</v>
      </c>
      <c r="F40" s="14">
        <v>1182.6</v>
      </c>
      <c r="G40" s="11">
        <f t="shared" si="8"/>
        <v>0</v>
      </c>
      <c r="H40" s="15">
        <v>5000.0</v>
      </c>
      <c r="I40" s="11">
        <f t="shared" si="9"/>
        <v>5000</v>
      </c>
      <c r="J40" s="16">
        <v>45935.0</v>
      </c>
      <c r="K40" s="17" t="s">
        <v>149</v>
      </c>
      <c r="L40" s="17" t="s">
        <v>143</v>
      </c>
      <c r="M40" s="15">
        <f t="shared" si="10"/>
        <v>0</v>
      </c>
      <c r="N40" s="12"/>
      <c r="O40" s="12"/>
      <c r="P40" s="15">
        <f t="shared" si="11"/>
        <v>5000</v>
      </c>
      <c r="Q40" s="15"/>
    </row>
    <row r="41" ht="22.5" customHeight="1">
      <c r="A41" s="11">
        <v>1.0</v>
      </c>
      <c r="B41" s="12" t="str">
        <f>Usuarios!B2 &amp; " " &amp; Usuarios!C2 &amp; " " &amp; Usuarios!D2
</f>
        <v>Nancy Zuñiga Villarroel</v>
      </c>
      <c r="C41" s="11">
        <f t="shared" si="1"/>
        <v>247</v>
      </c>
      <c r="D41" s="13">
        <v>255.0</v>
      </c>
      <c r="E41" s="11">
        <f t="shared" si="7"/>
        <v>8</v>
      </c>
      <c r="F41" s="14">
        <v>1182.6</v>
      </c>
      <c r="G41" s="11">
        <f t="shared" si="8"/>
        <v>9460.8</v>
      </c>
      <c r="H41" s="15">
        <v>5000.0</v>
      </c>
      <c r="I41" s="11">
        <f t="shared" si="9"/>
        <v>14460.8</v>
      </c>
      <c r="J41" s="16">
        <v>45935.0</v>
      </c>
      <c r="K41" s="17" t="s">
        <v>149</v>
      </c>
      <c r="L41" s="17" t="s">
        <v>143</v>
      </c>
      <c r="M41" s="15">
        <f t="shared" si="10"/>
        <v>0</v>
      </c>
      <c r="N41" s="12"/>
      <c r="O41" s="12"/>
      <c r="P41" s="15">
        <f t="shared" si="11"/>
        <v>14460.8</v>
      </c>
      <c r="Q41" s="15"/>
    </row>
    <row r="42" ht="22.5" customHeight="1">
      <c r="A42" s="11">
        <v>32.0</v>
      </c>
      <c r="B42" s="12" t="str">
        <f>Usuarios!B33 &amp; " " &amp; Usuarios!C33 &amp; " " &amp; Usuarios!D33
</f>
        <v>Natividad  Soto </v>
      </c>
      <c r="C42" s="11">
        <f t="shared" si="1"/>
        <v>176</v>
      </c>
      <c r="D42" s="13">
        <v>177.0</v>
      </c>
      <c r="E42" s="11">
        <f t="shared" si="7"/>
        <v>1</v>
      </c>
      <c r="F42" s="14">
        <v>1182.6</v>
      </c>
      <c r="G42" s="11">
        <f t="shared" si="8"/>
        <v>1182.6</v>
      </c>
      <c r="H42" s="15">
        <v>5000.0</v>
      </c>
      <c r="I42" s="11">
        <f t="shared" si="9"/>
        <v>6182.6</v>
      </c>
      <c r="J42" s="16">
        <v>45935.0</v>
      </c>
      <c r="K42" s="17" t="s">
        <v>149</v>
      </c>
      <c r="L42" s="17" t="s">
        <v>143</v>
      </c>
      <c r="M42" s="19">
        <v>0.0</v>
      </c>
      <c r="N42" s="12"/>
      <c r="O42" s="12"/>
      <c r="P42" s="15">
        <f t="shared" si="11"/>
        <v>6182.6</v>
      </c>
      <c r="Q42" s="15"/>
    </row>
    <row r="43" ht="22.5" customHeight="1">
      <c r="A43" s="11">
        <v>18.0</v>
      </c>
      <c r="B43" s="12" t="str">
        <f>Usuarios!B19 &amp; " " &amp; Usuarios!C19 &amp; " " &amp; Usuarios!D19
</f>
        <v>Nelson  Mansilla </v>
      </c>
      <c r="C43" s="11">
        <f t="shared" si="1"/>
        <v>161</v>
      </c>
      <c r="D43" s="13">
        <v>167.0</v>
      </c>
      <c r="E43" s="11">
        <f t="shared" si="7"/>
        <v>6</v>
      </c>
      <c r="F43" s="14">
        <v>1182.6</v>
      </c>
      <c r="G43" s="11">
        <f t="shared" si="8"/>
        <v>7095.6</v>
      </c>
      <c r="H43" s="15">
        <v>5000.0</v>
      </c>
      <c r="I43" s="11">
        <f t="shared" si="9"/>
        <v>12095.6</v>
      </c>
      <c r="J43" s="16">
        <v>45935.0</v>
      </c>
      <c r="K43" s="17" t="s">
        <v>149</v>
      </c>
      <c r="L43" s="17" t="s">
        <v>143</v>
      </c>
      <c r="M43" s="15">
        <f t="shared" ref="M43:M58" si="12">IF(L43="Pagado", I43, 0)</f>
        <v>0</v>
      </c>
      <c r="N43" s="12"/>
      <c r="O43" s="12"/>
      <c r="P43" s="15">
        <f t="shared" si="11"/>
        <v>12095.6</v>
      </c>
      <c r="Q43" s="15"/>
    </row>
    <row r="44" ht="22.5" customHeight="1">
      <c r="A44" s="11">
        <v>53.0</v>
      </c>
      <c r="B44" s="12" t="str">
        <f>Usuarios!B54 &amp; " " &amp; Usuarios!C54 &amp; " " &amp; Usuarios!D54
</f>
        <v>Nicolas Andres  Cardenas Bustamante</v>
      </c>
      <c r="C44" s="11">
        <f t="shared" si="1"/>
        <v>0</v>
      </c>
      <c r="D44" s="13"/>
      <c r="E44" s="11">
        <f t="shared" si="7"/>
        <v>0</v>
      </c>
      <c r="F44" s="14">
        <v>1182.6</v>
      </c>
      <c r="G44" s="11">
        <f t="shared" si="8"/>
        <v>0</v>
      </c>
      <c r="H44" s="15">
        <v>5000.0</v>
      </c>
      <c r="I44" s="11">
        <f t="shared" si="9"/>
        <v>5000</v>
      </c>
      <c r="J44" s="16">
        <v>45935.0</v>
      </c>
      <c r="K44" s="17" t="s">
        <v>149</v>
      </c>
      <c r="L44" s="17" t="s">
        <v>143</v>
      </c>
      <c r="M44" s="15">
        <f t="shared" si="12"/>
        <v>0</v>
      </c>
      <c r="N44" s="12"/>
      <c r="O44" s="12"/>
      <c r="P44" s="15">
        <f t="shared" si="11"/>
        <v>5000</v>
      </c>
      <c r="Q44" s="15"/>
    </row>
    <row r="45" ht="22.5" customHeight="1">
      <c r="A45" s="11">
        <v>28.0</v>
      </c>
      <c r="B45" s="12" t="str">
        <f>Usuarios!B29 &amp; " " &amp; Usuarios!C29 &amp; " " &amp; Usuarios!D29
</f>
        <v>Nora  Ñanco </v>
      </c>
      <c r="C45" s="11">
        <f t="shared" si="1"/>
        <v>543</v>
      </c>
      <c r="D45" s="13">
        <v>562.0</v>
      </c>
      <c r="E45" s="11">
        <f t="shared" si="7"/>
        <v>19</v>
      </c>
      <c r="F45" s="14">
        <v>1182.6</v>
      </c>
      <c r="G45" s="11">
        <f t="shared" si="8"/>
        <v>22469.4</v>
      </c>
      <c r="H45" s="15">
        <v>5000.0</v>
      </c>
      <c r="I45" s="11">
        <f t="shared" si="9"/>
        <v>27469.4</v>
      </c>
      <c r="J45" s="16">
        <v>45935.0</v>
      </c>
      <c r="K45" s="17" t="s">
        <v>149</v>
      </c>
      <c r="L45" s="17" t="s">
        <v>143</v>
      </c>
      <c r="M45" s="15">
        <f t="shared" si="12"/>
        <v>0</v>
      </c>
      <c r="N45" s="12"/>
      <c r="O45" s="12"/>
      <c r="P45" s="15">
        <f t="shared" si="11"/>
        <v>27469.4</v>
      </c>
      <c r="Q45" s="15"/>
    </row>
    <row r="46" ht="22.5" customHeight="1">
      <c r="A46" s="11">
        <v>38.0</v>
      </c>
      <c r="B46" s="12" t="str">
        <f>Usuarios!B39 &amp; " " &amp; Usuarios!C39 &amp; " " &amp; Usuarios!D39
</f>
        <v>Norma  Sanchez </v>
      </c>
      <c r="C46" s="11" t="str">
        <f t="shared" si="1"/>
        <v>#NUM!</v>
      </c>
      <c r="D46" s="13"/>
      <c r="E46" s="11" t="str">
        <f t="shared" si="7"/>
        <v>#NUM!</v>
      </c>
      <c r="F46" s="14">
        <v>1182.6</v>
      </c>
      <c r="G46" s="11" t="str">
        <f t="shared" si="8"/>
        <v>#NUM!</v>
      </c>
      <c r="H46" s="15">
        <v>5000.0</v>
      </c>
      <c r="I46" s="11" t="str">
        <f t="shared" si="9"/>
        <v>#NUM!</v>
      </c>
      <c r="J46" s="16"/>
      <c r="K46" s="17" t="s">
        <v>149</v>
      </c>
      <c r="L46" s="17" t="s">
        <v>143</v>
      </c>
      <c r="M46" s="15">
        <f t="shared" si="12"/>
        <v>0</v>
      </c>
      <c r="N46" s="12"/>
      <c r="O46" s="12"/>
      <c r="P46" s="15" t="str">
        <f t="shared" si="11"/>
        <v>#NUM!</v>
      </c>
      <c r="Q46" s="15"/>
    </row>
    <row r="47" ht="22.5" customHeight="1">
      <c r="A47" s="11">
        <v>47.0</v>
      </c>
      <c r="B47" s="12" t="str">
        <f>Usuarios!B48 &amp; " " &amp; Usuarios!C48 &amp; " " &amp; Usuarios!D48
</f>
        <v>Pablo  Contreras </v>
      </c>
      <c r="C47" s="11" t="str">
        <f t="shared" si="1"/>
        <v>#NUM!</v>
      </c>
      <c r="D47" s="13"/>
      <c r="E47" s="11"/>
      <c r="F47" s="14"/>
      <c r="G47" s="11"/>
      <c r="H47" s="15"/>
      <c r="I47" s="11"/>
      <c r="J47" s="16"/>
      <c r="K47" s="17" t="s">
        <v>149</v>
      </c>
      <c r="L47" s="17" t="s">
        <v>144</v>
      </c>
      <c r="M47" s="15">
        <f t="shared" si="12"/>
        <v>0</v>
      </c>
      <c r="N47" s="12"/>
      <c r="O47" s="12"/>
      <c r="P47" s="15">
        <f t="shared" si="11"/>
        <v>0</v>
      </c>
      <c r="Q47" s="15"/>
    </row>
    <row r="48" ht="22.5" customHeight="1">
      <c r="A48" s="11">
        <v>31.0</v>
      </c>
      <c r="B48" s="12" t="str">
        <f>Usuarios!B32 &amp; " " &amp; Usuarios!C32 &amp; " " &amp; Usuarios!D32
</f>
        <v>Patricia  Carcamo  Gonzales</v>
      </c>
      <c r="C48" s="11">
        <f t="shared" si="1"/>
        <v>232</v>
      </c>
      <c r="D48" s="13">
        <v>244.0</v>
      </c>
      <c r="E48" s="11">
        <f t="shared" ref="E48:E58" si="13">D48-C48</f>
        <v>12</v>
      </c>
      <c r="F48" s="14">
        <v>1182.6</v>
      </c>
      <c r="G48" s="11">
        <f t="shared" ref="G48:G58" si="14">E48*F48</f>
        <v>14191.2</v>
      </c>
      <c r="H48" s="15">
        <v>5000.0</v>
      </c>
      <c r="I48" s="11">
        <f t="shared" ref="I48:I58" si="15">E48*F48+H48</f>
        <v>19191.2</v>
      </c>
      <c r="J48" s="16">
        <v>45935.0</v>
      </c>
      <c r="K48" s="17" t="s">
        <v>149</v>
      </c>
      <c r="L48" s="17" t="s">
        <v>143</v>
      </c>
      <c r="M48" s="15">
        <f t="shared" si="12"/>
        <v>0</v>
      </c>
      <c r="N48" s="12"/>
      <c r="O48" s="12"/>
      <c r="P48" s="15">
        <f t="shared" si="11"/>
        <v>19191.2</v>
      </c>
      <c r="Q48" s="15"/>
    </row>
    <row r="49" ht="22.5" customHeight="1">
      <c r="A49" s="11">
        <v>37.0</v>
      </c>
      <c r="B49" s="12" t="str">
        <f>Usuarios!B38 &amp; " " &amp; Usuarios!C38 &amp; " " &amp; Usuarios!D38
</f>
        <v>Patricio Alvarez Mancilla</v>
      </c>
      <c r="C49" s="11">
        <f t="shared" si="1"/>
        <v>10</v>
      </c>
      <c r="D49" s="13">
        <v>11.0</v>
      </c>
      <c r="E49" s="11">
        <f t="shared" si="13"/>
        <v>1</v>
      </c>
      <c r="F49" s="14">
        <v>1182.6</v>
      </c>
      <c r="G49" s="11">
        <f t="shared" si="14"/>
        <v>1182.6</v>
      </c>
      <c r="H49" s="15">
        <v>5000.0</v>
      </c>
      <c r="I49" s="11">
        <f t="shared" si="15"/>
        <v>6182.6</v>
      </c>
      <c r="J49" s="16">
        <v>45935.0</v>
      </c>
      <c r="K49" s="17" t="s">
        <v>149</v>
      </c>
      <c r="L49" s="17" t="s">
        <v>143</v>
      </c>
      <c r="M49" s="15">
        <f t="shared" si="12"/>
        <v>0</v>
      </c>
      <c r="N49" s="12"/>
      <c r="O49" s="12"/>
      <c r="P49" s="15">
        <f t="shared" si="11"/>
        <v>6182.6</v>
      </c>
      <c r="Q49" s="15"/>
    </row>
    <row r="50" ht="22.5" customHeight="1">
      <c r="A50" s="11">
        <v>27.0</v>
      </c>
      <c r="B50" s="12" t="str">
        <f>Usuarios!B28 &amp; " " &amp; Usuarios!C28 &amp; " " &amp; Usuarios!D28
</f>
        <v>Pedro  Almonacid </v>
      </c>
      <c r="C50" s="11">
        <f t="shared" si="1"/>
        <v>262</v>
      </c>
      <c r="D50" s="13">
        <v>273.0</v>
      </c>
      <c r="E50" s="11">
        <f t="shared" si="13"/>
        <v>11</v>
      </c>
      <c r="F50" s="14">
        <v>1182.6</v>
      </c>
      <c r="G50" s="11">
        <f t="shared" si="14"/>
        <v>13008.6</v>
      </c>
      <c r="H50" s="15">
        <v>5000.0</v>
      </c>
      <c r="I50" s="11">
        <f t="shared" si="15"/>
        <v>18008.6</v>
      </c>
      <c r="J50" s="16">
        <v>45935.0</v>
      </c>
      <c r="K50" s="17" t="s">
        <v>149</v>
      </c>
      <c r="L50" s="17" t="s">
        <v>143</v>
      </c>
      <c r="M50" s="15">
        <f t="shared" si="12"/>
        <v>0</v>
      </c>
      <c r="N50" s="12"/>
      <c r="O50" s="12"/>
      <c r="P50" s="15">
        <f t="shared" si="11"/>
        <v>18008.6</v>
      </c>
      <c r="Q50" s="15"/>
    </row>
    <row r="51" ht="22.5" customHeight="1">
      <c r="A51" s="11">
        <v>12.0</v>
      </c>
      <c r="B51" s="12" t="str">
        <f>Usuarios!B13 &amp; " " &amp; Usuarios!C13 &amp; " " &amp; Usuarios!D13
</f>
        <v>Pedro  Contreras </v>
      </c>
      <c r="C51" s="11">
        <f t="shared" si="1"/>
        <v>146</v>
      </c>
      <c r="D51" s="13">
        <v>154.0</v>
      </c>
      <c r="E51" s="11">
        <f t="shared" si="13"/>
        <v>8</v>
      </c>
      <c r="F51" s="14">
        <v>1182.6</v>
      </c>
      <c r="G51" s="11">
        <f t="shared" si="14"/>
        <v>9460.8</v>
      </c>
      <c r="H51" s="15">
        <v>5000.0</v>
      </c>
      <c r="I51" s="11">
        <f t="shared" si="15"/>
        <v>14460.8</v>
      </c>
      <c r="J51" s="16">
        <v>45935.0</v>
      </c>
      <c r="K51" s="17" t="s">
        <v>149</v>
      </c>
      <c r="L51" s="17" t="s">
        <v>143</v>
      </c>
      <c r="M51" s="15">
        <f t="shared" si="12"/>
        <v>0</v>
      </c>
      <c r="N51" s="12"/>
      <c r="O51" s="12"/>
      <c r="P51" s="15">
        <f t="shared" si="11"/>
        <v>14460.8</v>
      </c>
      <c r="Q51" s="15"/>
    </row>
    <row r="52" ht="22.5" customHeight="1">
      <c r="A52" s="11">
        <v>43.0</v>
      </c>
      <c r="B52" s="12" t="str">
        <f>Usuarios!B44 &amp; " " &amp; Usuarios!C44 &amp; " " &amp; Usuarios!D44
</f>
        <v>Ramon  Maldonado </v>
      </c>
      <c r="C52" s="11">
        <f t="shared" si="1"/>
        <v>0</v>
      </c>
      <c r="D52" s="13">
        <v>0.0</v>
      </c>
      <c r="E52" s="11">
        <f t="shared" si="13"/>
        <v>0</v>
      </c>
      <c r="F52" s="14">
        <v>1182.6</v>
      </c>
      <c r="G52" s="11">
        <f t="shared" si="14"/>
        <v>0</v>
      </c>
      <c r="H52" s="15">
        <v>5000.0</v>
      </c>
      <c r="I52" s="11">
        <f t="shared" si="15"/>
        <v>5000</v>
      </c>
      <c r="J52" s="16">
        <v>45935.0</v>
      </c>
      <c r="K52" s="17" t="s">
        <v>149</v>
      </c>
      <c r="L52" s="17" t="s">
        <v>143</v>
      </c>
      <c r="M52" s="15">
        <f t="shared" si="12"/>
        <v>0</v>
      </c>
      <c r="N52" s="12"/>
      <c r="O52" s="12"/>
      <c r="P52" s="15">
        <f t="shared" si="11"/>
        <v>5000</v>
      </c>
      <c r="Q52" s="15"/>
    </row>
    <row r="53" ht="22.5" customHeight="1">
      <c r="A53" s="11">
        <v>14.0</v>
      </c>
      <c r="B53" s="12" t="str">
        <f>Usuarios!B15 &amp; " " &amp; Usuarios!C15 &amp; " " &amp; Usuarios!D15
</f>
        <v>Ramona  Mansilla </v>
      </c>
      <c r="C53" s="11">
        <f t="shared" si="1"/>
        <v>62</v>
      </c>
      <c r="D53" s="13">
        <v>66.0</v>
      </c>
      <c r="E53" s="11">
        <f t="shared" si="13"/>
        <v>4</v>
      </c>
      <c r="F53" s="14">
        <v>1182.6</v>
      </c>
      <c r="G53" s="11">
        <f t="shared" si="14"/>
        <v>4730.4</v>
      </c>
      <c r="H53" s="15">
        <v>5000.0</v>
      </c>
      <c r="I53" s="11">
        <f t="shared" si="15"/>
        <v>9730.4</v>
      </c>
      <c r="J53" s="16">
        <v>45935.0</v>
      </c>
      <c r="K53" s="17" t="s">
        <v>149</v>
      </c>
      <c r="L53" s="17" t="s">
        <v>143</v>
      </c>
      <c r="M53" s="15">
        <f t="shared" si="12"/>
        <v>0</v>
      </c>
      <c r="N53" s="12"/>
      <c r="O53" s="12"/>
      <c r="P53" s="15">
        <f t="shared" si="11"/>
        <v>9730.4</v>
      </c>
      <c r="Q53" s="15"/>
    </row>
    <row r="54" ht="22.5" customHeight="1">
      <c r="A54" s="11">
        <v>54.0</v>
      </c>
      <c r="B54" s="12" t="str">
        <f>Usuarios!B55 &amp; " " &amp; Usuarios!C55 &amp; " " &amp; Usuarios!D55
</f>
        <v>Rosa  Mancilla </v>
      </c>
      <c r="C54" s="11">
        <f t="shared" si="1"/>
        <v>106</v>
      </c>
      <c r="D54" s="13">
        <v>106.0</v>
      </c>
      <c r="E54" s="11">
        <f t="shared" si="13"/>
        <v>0</v>
      </c>
      <c r="F54" s="14">
        <v>1182.6</v>
      </c>
      <c r="G54" s="11">
        <f t="shared" si="14"/>
        <v>0</v>
      </c>
      <c r="H54" s="15">
        <v>5000.0</v>
      </c>
      <c r="I54" s="11">
        <f t="shared" si="15"/>
        <v>5000</v>
      </c>
      <c r="J54" s="16">
        <v>45935.0</v>
      </c>
      <c r="K54" s="17" t="s">
        <v>149</v>
      </c>
      <c r="L54" s="17" t="s">
        <v>143</v>
      </c>
      <c r="M54" s="15">
        <f t="shared" si="12"/>
        <v>0</v>
      </c>
      <c r="N54" s="12"/>
      <c r="O54" s="12"/>
      <c r="P54" s="15">
        <f t="shared" si="11"/>
        <v>5000</v>
      </c>
      <c r="Q54" s="15"/>
    </row>
    <row r="55" ht="22.5" customHeight="1">
      <c r="A55" s="11">
        <v>49.0</v>
      </c>
      <c r="B55" s="12" t="str">
        <f>Usuarios!B50 &amp; " " &amp; Usuarios!C50 &amp; " " &amp; Usuarios!D50
</f>
        <v>Rosa  Nuñez </v>
      </c>
      <c r="C55" s="11">
        <f t="shared" si="1"/>
        <v>95</v>
      </c>
      <c r="D55" s="13">
        <v>105.0</v>
      </c>
      <c r="E55" s="11">
        <f t="shared" si="13"/>
        <v>10</v>
      </c>
      <c r="F55" s="14">
        <v>1182.6</v>
      </c>
      <c r="G55" s="11">
        <f t="shared" si="14"/>
        <v>11826</v>
      </c>
      <c r="H55" s="15">
        <v>5000.0</v>
      </c>
      <c r="I55" s="11">
        <f t="shared" si="15"/>
        <v>16826</v>
      </c>
      <c r="J55" s="16">
        <v>45935.0</v>
      </c>
      <c r="K55" s="17" t="s">
        <v>149</v>
      </c>
      <c r="L55" s="17" t="s">
        <v>143</v>
      </c>
      <c r="M55" s="15">
        <f t="shared" si="12"/>
        <v>0</v>
      </c>
      <c r="N55" s="12"/>
      <c r="O55" s="12"/>
      <c r="P55" s="15">
        <f t="shared" si="11"/>
        <v>16826</v>
      </c>
      <c r="Q55" s="15"/>
    </row>
    <row r="56" ht="22.5" customHeight="1">
      <c r="A56" s="11">
        <v>15.0</v>
      </c>
      <c r="B56" s="12" t="str">
        <f>Usuarios!B16 &amp; " " &amp; Usuarios!C16 &amp; " " &amp; Usuarios!D16
</f>
        <v>Sandra Mancilla  Merino</v>
      </c>
      <c r="C56" s="11">
        <f t="shared" si="1"/>
        <v>183</v>
      </c>
      <c r="D56" s="13">
        <v>191.0</v>
      </c>
      <c r="E56" s="11">
        <f t="shared" si="13"/>
        <v>8</v>
      </c>
      <c r="F56" s="14">
        <v>1182.6</v>
      </c>
      <c r="G56" s="11">
        <f t="shared" si="14"/>
        <v>9460.8</v>
      </c>
      <c r="H56" s="15">
        <v>5000.0</v>
      </c>
      <c r="I56" s="11">
        <f t="shared" si="15"/>
        <v>14460.8</v>
      </c>
      <c r="J56" s="16">
        <v>45935.0</v>
      </c>
      <c r="K56" s="17" t="s">
        <v>149</v>
      </c>
      <c r="L56" s="17" t="s">
        <v>143</v>
      </c>
      <c r="M56" s="15">
        <f t="shared" si="12"/>
        <v>0</v>
      </c>
      <c r="N56" s="12"/>
      <c r="O56" s="12"/>
      <c r="P56" s="15">
        <f t="shared" si="11"/>
        <v>14460.8</v>
      </c>
      <c r="Q56" s="15"/>
    </row>
    <row r="57" ht="22.5" customHeight="1">
      <c r="A57" s="11">
        <v>34.0</v>
      </c>
      <c r="B57" s="12" t="str">
        <f>Usuarios!B35 &amp; " " &amp; Usuarios!C35 &amp; " " &amp; Usuarios!D35
</f>
        <v>Vanesa  Aguilar </v>
      </c>
      <c r="C57" s="11">
        <f t="shared" si="1"/>
        <v>611</v>
      </c>
      <c r="D57" s="13">
        <v>626.0</v>
      </c>
      <c r="E57" s="11">
        <f t="shared" si="13"/>
        <v>15</v>
      </c>
      <c r="F57" s="14">
        <v>1182.6</v>
      </c>
      <c r="G57" s="11">
        <f t="shared" si="14"/>
        <v>17739</v>
      </c>
      <c r="H57" s="15">
        <v>5000.0</v>
      </c>
      <c r="I57" s="11">
        <f t="shared" si="15"/>
        <v>22739</v>
      </c>
      <c r="J57" s="16">
        <v>45935.0</v>
      </c>
      <c r="K57" s="17" t="s">
        <v>149</v>
      </c>
      <c r="L57" s="17" t="s">
        <v>143</v>
      </c>
      <c r="M57" s="15">
        <f t="shared" si="12"/>
        <v>0</v>
      </c>
      <c r="N57" s="12"/>
      <c r="O57" s="12"/>
      <c r="P57" s="15">
        <f t="shared" si="11"/>
        <v>22739</v>
      </c>
      <c r="Q57" s="15"/>
    </row>
    <row r="58" ht="22.5" customHeight="1">
      <c r="A58" s="11">
        <v>22.0</v>
      </c>
      <c r="B58" s="12" t="str">
        <f>Usuarios!B23 &amp; " " &amp; Usuarios!C23 &amp; " " &amp; Usuarios!D23
</f>
        <v>Yuri  Millaquen </v>
      </c>
      <c r="C58" s="11">
        <f t="shared" si="1"/>
        <v>209</v>
      </c>
      <c r="D58" s="13">
        <v>220.0</v>
      </c>
      <c r="E58" s="11">
        <f t="shared" si="13"/>
        <v>11</v>
      </c>
      <c r="F58" s="14">
        <v>1182.6</v>
      </c>
      <c r="G58" s="11">
        <f t="shared" si="14"/>
        <v>13008.6</v>
      </c>
      <c r="H58" s="15">
        <v>5000.0</v>
      </c>
      <c r="I58" s="11">
        <f t="shared" si="15"/>
        <v>18008.6</v>
      </c>
      <c r="J58" s="16">
        <v>45935.0</v>
      </c>
      <c r="K58" s="17" t="s">
        <v>149</v>
      </c>
      <c r="L58" s="17" t="s">
        <v>143</v>
      </c>
      <c r="M58" s="15">
        <f t="shared" si="12"/>
        <v>0</v>
      </c>
      <c r="N58" s="12"/>
      <c r="O58" s="12"/>
      <c r="P58" s="15">
        <f t="shared" si="11"/>
        <v>18008.6</v>
      </c>
      <c r="Q58" s="15"/>
    </row>
    <row r="59" ht="22.5" customHeight="1">
      <c r="A59" s="20"/>
      <c r="B59" s="20"/>
      <c r="C59" s="20"/>
      <c r="D59" s="20"/>
      <c r="E59" s="20"/>
      <c r="F59" s="21"/>
      <c r="G59" s="20"/>
      <c r="H59" s="22"/>
      <c r="I59" s="20"/>
      <c r="J59" s="23"/>
      <c r="K59" s="24"/>
      <c r="L59" s="24"/>
      <c r="M59" s="22"/>
      <c r="N59" s="25"/>
      <c r="O59" s="25"/>
      <c r="P59" s="22"/>
      <c r="Q59" s="22"/>
    </row>
  </sheetData>
  <conditionalFormatting sqref="L34">
    <cfRule type="containsText" dxfId="5" priority="1" operator="containsText" text="PARCIAL">
      <formula>NOT(ISERROR(SEARCH(("PARCIAL"),(L34))))</formula>
    </cfRule>
  </conditionalFormatting>
  <conditionalFormatting sqref="L2:L59 J58:K59">
    <cfRule type="containsText" dxfId="6" priority="2" operator="containsText" text="PENDIENTE">
      <formula>NOT(ISERROR(SEARCH(("PENDIENTE"),(L2))))</formula>
    </cfRule>
  </conditionalFormatting>
  <conditionalFormatting sqref="L2:L59 J58:K59">
    <cfRule type="containsText" dxfId="7" priority="3" operator="containsText" text="PAGADO">
      <formula>NOT(ISERROR(SEARCH(("PAGADO"),(L2))))</formula>
    </cfRule>
  </conditionalFormatting>
  <conditionalFormatting sqref="A2:Q59">
    <cfRule type="containsText" dxfId="8" priority="4" operator="containsText" text="NO APLICA">
      <formula>NOT(ISERROR(SEARCH(("NO APLICA"),(A2))))</formula>
    </cfRule>
  </conditionalFormatting>
  <conditionalFormatting sqref="A2:P59 Q58:Q59">
    <cfRule type="containsText" dxfId="8" priority="5" operator="containsText" text="NO APLICA">
      <formula>NOT(ISERROR(SEARCH(("NO APLICA"),(A2))))</formula>
    </cfRule>
  </conditionalFormatting>
  <dataValidations>
    <dataValidation type="list" allowBlank="1" sqref="O2:O58">
      <formula1>"EFECTIVO,TRANSFERENCIA,CHEQUE,TARJETA"</formula1>
    </dataValidation>
    <dataValidation type="list" allowBlank="1" sqref="K2:K59">
      <formula1>"SI,NO"</formula1>
    </dataValidation>
    <dataValidation type="custom" allowBlank="1" showDropDown="1" sqref="A2:A59 C2:I59 M2:M59 P2:P59">
      <formula1>AND(ISNUMBER(A2),(NOT(OR(NOT(ISERROR(DATEVALUE(A2))), AND(ISNUMBER(A2), LEFT(CELL("format", A2))="D")))))</formula1>
    </dataValidation>
    <dataValidation type="list" allowBlank="1" sqref="L2:L59">
      <formula1>"PENDIENTE,PAGADO,VENCIDO,PARCIAL,NO APLICA"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8.29"/>
    <col customWidth="1" min="10" max="10" width="22.29"/>
  </cols>
  <sheetData>
    <row r="1" ht="22.5" customHeight="1">
      <c r="A1" s="9" t="s">
        <v>0</v>
      </c>
      <c r="B1" s="9" t="s">
        <v>1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133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10" t="s">
        <v>141</v>
      </c>
    </row>
    <row r="2" ht="22.5" customHeight="1">
      <c r="A2" s="11">
        <v>41.0</v>
      </c>
      <c r="B2" s="12" t="str">
        <f>Usuarios!B42 &amp; " " &amp; Usuarios!C42 &amp; " " &amp; Usuarios!D42
</f>
        <v>Astrid  Gomez </v>
      </c>
      <c r="C2" s="11">
        <f t="shared" ref="C2:C57" si="1">INDEX(INDIRECT("'" &amp; TEXT(EDATE(J2,-2),"mm-yyyy") &amp; "'!D:D"),
   MATCH(A2,INDIRECT("'" &amp; TEXT(EDATE(J2,-2),"mm-yyyy") &amp; "'!A:A"),0))
</f>
        <v>125</v>
      </c>
      <c r="D2" s="13">
        <v>131.0</v>
      </c>
      <c r="E2" s="11">
        <f t="shared" ref="E2:E16" si="2">D2-C2</f>
        <v>6</v>
      </c>
      <c r="F2" s="14">
        <v>1182.6</v>
      </c>
      <c r="G2" s="11">
        <f t="shared" ref="G2:G16" si="3">E2*F2</f>
        <v>7095.6</v>
      </c>
      <c r="H2" s="15">
        <v>5000.0</v>
      </c>
      <c r="I2" s="11">
        <f t="shared" ref="I2:I16" si="4">E2*F2+H2</f>
        <v>12095.6</v>
      </c>
      <c r="J2" s="16">
        <v>45965.0</v>
      </c>
      <c r="K2" s="17" t="s">
        <v>149</v>
      </c>
      <c r="L2" s="17" t="s">
        <v>143</v>
      </c>
      <c r="M2" s="15">
        <f t="shared" ref="M2:M16" si="5">IF(L2="Pagado", I2, 0)</f>
        <v>0</v>
      </c>
      <c r="N2" s="12"/>
      <c r="O2" s="12"/>
      <c r="P2" s="15">
        <f t="shared" ref="P2:P16" si="6">IF(L2="NO APLICA",0, (I2-M2))</f>
        <v>12095.6</v>
      </c>
      <c r="Q2" s="15"/>
    </row>
    <row r="3" ht="22.5" customHeight="1">
      <c r="A3" s="11">
        <v>16.0</v>
      </c>
      <c r="B3" s="12" t="str">
        <f>Usuarios!B17 &amp; " " &amp; Usuarios!C17 &amp; " " &amp; Usuarios!D17
</f>
        <v>Carlos  Agüero </v>
      </c>
      <c r="C3" s="11">
        <f t="shared" si="1"/>
        <v>249</v>
      </c>
      <c r="D3" s="13"/>
      <c r="E3" s="11">
        <f t="shared" si="2"/>
        <v>-249</v>
      </c>
      <c r="F3" s="14">
        <v>1182.6</v>
      </c>
      <c r="G3" s="11">
        <f t="shared" si="3"/>
        <v>-294467.4</v>
      </c>
      <c r="H3" s="15">
        <v>5000.0</v>
      </c>
      <c r="I3" s="11">
        <f t="shared" si="4"/>
        <v>-289467.4</v>
      </c>
      <c r="J3" s="16">
        <v>45966.0</v>
      </c>
      <c r="K3" s="17" t="s">
        <v>149</v>
      </c>
      <c r="L3" s="17" t="s">
        <v>143</v>
      </c>
      <c r="M3" s="15">
        <f t="shared" si="5"/>
        <v>0</v>
      </c>
      <c r="N3" s="12"/>
      <c r="O3" s="12"/>
      <c r="P3" s="15">
        <f t="shared" si="6"/>
        <v>-289467.4</v>
      </c>
      <c r="Q3" s="15"/>
    </row>
    <row r="4" ht="22.5" customHeight="1">
      <c r="A4" s="11">
        <v>13.0</v>
      </c>
      <c r="B4" s="12" t="str">
        <f>Usuarios!B14 &amp; " " &amp; Usuarios!C14 &amp; " " &amp; Usuarios!D14
</f>
        <v>Carlos  Gamin </v>
      </c>
      <c r="C4" s="11">
        <f t="shared" si="1"/>
        <v>237</v>
      </c>
      <c r="D4" s="13"/>
      <c r="E4" s="11">
        <f t="shared" si="2"/>
        <v>-237</v>
      </c>
      <c r="F4" s="14">
        <v>1182.6</v>
      </c>
      <c r="G4" s="11">
        <f t="shared" si="3"/>
        <v>-280276.2</v>
      </c>
      <c r="H4" s="15">
        <v>5000.0</v>
      </c>
      <c r="I4" s="11">
        <f t="shared" si="4"/>
        <v>-275276.2</v>
      </c>
      <c r="J4" s="16">
        <v>45967.0</v>
      </c>
      <c r="K4" s="17" t="s">
        <v>149</v>
      </c>
      <c r="L4" s="17" t="s">
        <v>143</v>
      </c>
      <c r="M4" s="15">
        <f t="shared" si="5"/>
        <v>0</v>
      </c>
      <c r="N4" s="12"/>
      <c r="O4" s="12"/>
      <c r="P4" s="15">
        <f t="shared" si="6"/>
        <v>-275276.2</v>
      </c>
      <c r="Q4" s="15"/>
    </row>
    <row r="5" ht="22.5" customHeight="1">
      <c r="A5" s="11">
        <v>23.0</v>
      </c>
      <c r="B5" s="12" t="str">
        <f>Usuarios!B24 &amp; " " &amp; Usuarios!C24 &amp; " " &amp; Usuarios!D24
</f>
        <v>Carlos  Nahuelpan </v>
      </c>
      <c r="C5" s="11">
        <f t="shared" si="1"/>
        <v>141</v>
      </c>
      <c r="D5" s="13"/>
      <c r="E5" s="11">
        <f t="shared" si="2"/>
        <v>-141</v>
      </c>
      <c r="F5" s="14">
        <v>1182.6</v>
      </c>
      <c r="G5" s="11">
        <f t="shared" si="3"/>
        <v>-166746.6</v>
      </c>
      <c r="H5" s="15">
        <v>5000.0</v>
      </c>
      <c r="I5" s="11">
        <f t="shared" si="4"/>
        <v>-161746.6</v>
      </c>
      <c r="J5" s="16">
        <v>45968.0</v>
      </c>
      <c r="K5" s="17" t="s">
        <v>149</v>
      </c>
      <c r="L5" s="17" t="s">
        <v>143</v>
      </c>
      <c r="M5" s="15">
        <f t="shared" si="5"/>
        <v>0</v>
      </c>
      <c r="N5" s="12"/>
      <c r="O5" s="12"/>
      <c r="P5" s="15">
        <f t="shared" si="6"/>
        <v>-161746.6</v>
      </c>
      <c r="Q5" s="15"/>
    </row>
    <row r="6" ht="22.5" customHeight="1">
      <c r="A6" s="11">
        <v>4.0</v>
      </c>
      <c r="B6" s="12" t="str">
        <f>Usuarios!B5 &amp; " " &amp; Usuarios!C5 &amp; " " &amp; Usuarios!D5
</f>
        <v>Cristian  Oyarzo </v>
      </c>
      <c r="C6" s="11">
        <f t="shared" si="1"/>
        <v>683</v>
      </c>
      <c r="D6" s="13"/>
      <c r="E6" s="11">
        <f t="shared" si="2"/>
        <v>-683</v>
      </c>
      <c r="F6" s="14">
        <v>1182.6</v>
      </c>
      <c r="G6" s="11">
        <f t="shared" si="3"/>
        <v>-807715.8</v>
      </c>
      <c r="H6" s="15">
        <v>5000.0</v>
      </c>
      <c r="I6" s="11">
        <f t="shared" si="4"/>
        <v>-802715.8</v>
      </c>
      <c r="J6" s="16">
        <v>45969.0</v>
      </c>
      <c r="K6" s="17" t="s">
        <v>149</v>
      </c>
      <c r="L6" s="17" t="s">
        <v>143</v>
      </c>
      <c r="M6" s="15">
        <f t="shared" si="5"/>
        <v>0</v>
      </c>
      <c r="N6" s="12"/>
      <c r="O6" s="12"/>
      <c r="P6" s="15">
        <f t="shared" si="6"/>
        <v>-802715.8</v>
      </c>
      <c r="Q6" s="15"/>
    </row>
    <row r="7" ht="22.5" customHeight="1">
      <c r="A7" s="11">
        <v>36.0</v>
      </c>
      <c r="B7" s="12" t="str">
        <f>Usuarios!B37 &amp; " " &amp; Usuarios!C37 &amp; " " &amp; Usuarios!D37
</f>
        <v>Danilo  Soto  Soto</v>
      </c>
      <c r="C7" s="11" t="str">
        <f t="shared" si="1"/>
        <v/>
      </c>
      <c r="D7" s="13"/>
      <c r="E7" s="11">
        <f t="shared" si="2"/>
        <v>0</v>
      </c>
      <c r="F7" s="14">
        <v>1182.6</v>
      </c>
      <c r="G7" s="11">
        <f t="shared" si="3"/>
        <v>0</v>
      </c>
      <c r="H7" s="15">
        <v>5000.0</v>
      </c>
      <c r="I7" s="11">
        <f t="shared" si="4"/>
        <v>5000</v>
      </c>
      <c r="J7" s="16">
        <v>45970.0</v>
      </c>
      <c r="K7" s="17" t="s">
        <v>149</v>
      </c>
      <c r="L7" s="17" t="s">
        <v>143</v>
      </c>
      <c r="M7" s="15">
        <f t="shared" si="5"/>
        <v>0</v>
      </c>
      <c r="N7" s="12"/>
      <c r="O7" s="12"/>
      <c r="P7" s="15">
        <f t="shared" si="6"/>
        <v>5000</v>
      </c>
      <c r="Q7" s="15"/>
    </row>
    <row r="8" ht="22.5" customHeight="1">
      <c r="A8" s="11">
        <v>10.0</v>
      </c>
      <c r="B8" s="12" t="str">
        <f>Usuarios!B11 &amp; " " &amp; Usuarios!C11 &amp; " " &amp; Usuarios!D11
</f>
        <v>David  Cartes </v>
      </c>
      <c r="C8" s="11">
        <f t="shared" si="1"/>
        <v>172</v>
      </c>
      <c r="D8" s="13">
        <v>183.0</v>
      </c>
      <c r="E8" s="11">
        <f t="shared" si="2"/>
        <v>11</v>
      </c>
      <c r="F8" s="14">
        <v>1182.6</v>
      </c>
      <c r="G8" s="11">
        <f t="shared" si="3"/>
        <v>13008.6</v>
      </c>
      <c r="H8" s="15">
        <v>5000.0</v>
      </c>
      <c r="I8" s="11">
        <f t="shared" si="4"/>
        <v>18008.6</v>
      </c>
      <c r="J8" s="16">
        <v>45971.0</v>
      </c>
      <c r="K8" s="17" t="s">
        <v>149</v>
      </c>
      <c r="L8" s="17" t="s">
        <v>143</v>
      </c>
      <c r="M8" s="15">
        <f t="shared" si="5"/>
        <v>0</v>
      </c>
      <c r="N8" s="12"/>
      <c r="O8" s="12"/>
      <c r="P8" s="15">
        <f t="shared" si="6"/>
        <v>18008.6</v>
      </c>
      <c r="Q8" s="15"/>
    </row>
    <row r="9" ht="22.5" customHeight="1">
      <c r="A9" s="11">
        <v>19.0</v>
      </c>
      <c r="B9" s="12" t="str">
        <f>Usuarios!B20 &amp; " " &amp; Usuarios!C20 &amp; " " &amp; Usuarios!D20
</f>
        <v>Eduardo  Chavez </v>
      </c>
      <c r="C9" s="11">
        <f t="shared" si="1"/>
        <v>123</v>
      </c>
      <c r="D9" s="13">
        <v>133.0</v>
      </c>
      <c r="E9" s="11">
        <f t="shared" si="2"/>
        <v>10</v>
      </c>
      <c r="F9" s="14">
        <v>1182.6</v>
      </c>
      <c r="G9" s="11">
        <f t="shared" si="3"/>
        <v>11826</v>
      </c>
      <c r="H9" s="15">
        <v>5000.0</v>
      </c>
      <c r="I9" s="11">
        <f t="shared" si="4"/>
        <v>16826</v>
      </c>
      <c r="J9" s="16">
        <v>45972.0</v>
      </c>
      <c r="K9" s="17" t="s">
        <v>149</v>
      </c>
      <c r="L9" s="17" t="s">
        <v>143</v>
      </c>
      <c r="M9" s="15">
        <f t="shared" si="5"/>
        <v>0</v>
      </c>
      <c r="N9" s="12"/>
      <c r="O9" s="12"/>
      <c r="P9" s="15">
        <f t="shared" si="6"/>
        <v>16826</v>
      </c>
      <c r="Q9" s="15"/>
    </row>
    <row r="10" ht="22.5" customHeight="1">
      <c r="A10" s="11">
        <v>52.0</v>
      </c>
      <c r="B10" s="12" t="str">
        <f>Usuarios!B53 &amp; " " &amp; Usuarios!C53 &amp; " " &amp; Usuarios!D53
</f>
        <v>Esteban  Oyarzo  Levil</v>
      </c>
      <c r="C10" s="11" t="str">
        <f t="shared" si="1"/>
        <v/>
      </c>
      <c r="D10" s="13"/>
      <c r="E10" s="11">
        <f t="shared" si="2"/>
        <v>0</v>
      </c>
      <c r="F10" s="14">
        <v>1182.6</v>
      </c>
      <c r="G10" s="11">
        <f t="shared" si="3"/>
        <v>0</v>
      </c>
      <c r="H10" s="15">
        <v>5000.0</v>
      </c>
      <c r="I10" s="11">
        <f t="shared" si="4"/>
        <v>5000</v>
      </c>
      <c r="J10" s="16">
        <v>45973.0</v>
      </c>
      <c r="K10" s="17" t="s">
        <v>149</v>
      </c>
      <c r="L10" s="17" t="s">
        <v>143</v>
      </c>
      <c r="M10" s="15">
        <f t="shared" si="5"/>
        <v>0</v>
      </c>
      <c r="N10" s="12"/>
      <c r="O10" s="12"/>
      <c r="P10" s="15">
        <f t="shared" si="6"/>
        <v>5000</v>
      </c>
      <c r="Q10" s="15"/>
    </row>
    <row r="11" ht="22.5" customHeight="1">
      <c r="A11" s="11">
        <v>8.0</v>
      </c>
      <c r="B11" s="12" t="str">
        <f>Usuarios!B9 &amp; " " &amp; Usuarios!C9 &amp; " " &amp; Usuarios!D9
</f>
        <v>Gabriel  Farias </v>
      </c>
      <c r="C11" s="11">
        <f t="shared" si="1"/>
        <v>601</v>
      </c>
      <c r="D11" s="13"/>
      <c r="E11" s="11">
        <f t="shared" si="2"/>
        <v>-601</v>
      </c>
      <c r="F11" s="14">
        <v>1182.6</v>
      </c>
      <c r="G11" s="11">
        <f t="shared" si="3"/>
        <v>-710742.6</v>
      </c>
      <c r="H11" s="15">
        <v>5000.0</v>
      </c>
      <c r="I11" s="11">
        <f t="shared" si="4"/>
        <v>-705742.6</v>
      </c>
      <c r="J11" s="16">
        <v>45974.0</v>
      </c>
      <c r="K11" s="17" t="s">
        <v>149</v>
      </c>
      <c r="L11" s="17" t="s">
        <v>143</v>
      </c>
      <c r="M11" s="15">
        <f t="shared" si="5"/>
        <v>0</v>
      </c>
      <c r="N11" s="12"/>
      <c r="O11" s="12"/>
      <c r="P11" s="15">
        <f t="shared" si="6"/>
        <v>-705742.6</v>
      </c>
      <c r="Q11" s="15"/>
    </row>
    <row r="12" ht="22.5" customHeight="1">
      <c r="A12" s="11">
        <v>2.0</v>
      </c>
      <c r="B12" s="12" t="str">
        <f>Usuarios!B3 &amp; " " &amp; Usuarios!C3 &amp; " " &amp; Usuarios!D3
</f>
        <v>Gabriel Barria Zuñiga</v>
      </c>
      <c r="C12" s="11">
        <f t="shared" si="1"/>
        <v>406</v>
      </c>
      <c r="D12" s="13"/>
      <c r="E12" s="11">
        <f t="shared" si="2"/>
        <v>-406</v>
      </c>
      <c r="F12" s="14">
        <v>1182.6</v>
      </c>
      <c r="G12" s="11">
        <f t="shared" si="3"/>
        <v>-480135.6</v>
      </c>
      <c r="H12" s="15">
        <v>5000.0</v>
      </c>
      <c r="I12" s="11">
        <f t="shared" si="4"/>
        <v>-475135.6</v>
      </c>
      <c r="J12" s="16">
        <v>45975.0</v>
      </c>
      <c r="K12" s="17" t="s">
        <v>149</v>
      </c>
      <c r="L12" s="17" t="s">
        <v>143</v>
      </c>
      <c r="M12" s="15">
        <f t="shared" si="5"/>
        <v>0</v>
      </c>
      <c r="N12" s="16"/>
      <c r="O12" s="12"/>
      <c r="P12" s="15">
        <f t="shared" si="6"/>
        <v>-475135.6</v>
      </c>
      <c r="Q12" s="15"/>
    </row>
    <row r="13" ht="22.5" customHeight="1">
      <c r="A13" s="11">
        <v>3.0</v>
      </c>
      <c r="B13" s="12" t="str">
        <f>Usuarios!B4 &amp; " " &amp; Usuarios!C4 &amp; " " &amp; Usuarios!D4
</f>
        <v>Gino  Reyes </v>
      </c>
      <c r="C13" s="11">
        <f t="shared" si="1"/>
        <v>3</v>
      </c>
      <c r="D13" s="13"/>
      <c r="E13" s="11">
        <f t="shared" si="2"/>
        <v>-3</v>
      </c>
      <c r="F13" s="14">
        <v>1182.6</v>
      </c>
      <c r="G13" s="11">
        <f t="shared" si="3"/>
        <v>-3547.8</v>
      </c>
      <c r="H13" s="15">
        <v>5000.0</v>
      </c>
      <c r="I13" s="11">
        <f t="shared" si="4"/>
        <v>1452.2</v>
      </c>
      <c r="J13" s="16">
        <v>45976.0</v>
      </c>
      <c r="K13" s="17" t="s">
        <v>149</v>
      </c>
      <c r="L13" s="17" t="s">
        <v>143</v>
      </c>
      <c r="M13" s="15">
        <f t="shared" si="5"/>
        <v>0</v>
      </c>
      <c r="N13" s="12"/>
      <c r="O13" s="12"/>
      <c r="P13" s="15">
        <f t="shared" si="6"/>
        <v>1452.2</v>
      </c>
      <c r="Q13" s="15"/>
    </row>
    <row r="14" ht="22.5" customHeight="1">
      <c r="A14" s="11">
        <v>39.0</v>
      </c>
      <c r="B14" s="12" t="str">
        <f>Usuarios!B40 &amp; " " &amp; Usuarios!C40 &amp; " " &amp; Usuarios!D40
</f>
        <v>Gloria  Alvarez </v>
      </c>
      <c r="C14" s="11">
        <f t="shared" si="1"/>
        <v>20</v>
      </c>
      <c r="D14" s="13"/>
      <c r="E14" s="11">
        <f t="shared" si="2"/>
        <v>-20</v>
      </c>
      <c r="F14" s="14">
        <v>1182.6</v>
      </c>
      <c r="G14" s="11">
        <f t="shared" si="3"/>
        <v>-23652</v>
      </c>
      <c r="H14" s="15">
        <v>5000.0</v>
      </c>
      <c r="I14" s="11">
        <f t="shared" si="4"/>
        <v>-18652</v>
      </c>
      <c r="J14" s="16">
        <v>45977.0</v>
      </c>
      <c r="K14" s="17" t="s">
        <v>149</v>
      </c>
      <c r="L14" s="17" t="s">
        <v>143</v>
      </c>
      <c r="M14" s="15">
        <f t="shared" si="5"/>
        <v>0</v>
      </c>
      <c r="N14" s="12"/>
      <c r="O14" s="12"/>
      <c r="P14" s="15">
        <f t="shared" si="6"/>
        <v>-18652</v>
      </c>
      <c r="Q14" s="15"/>
    </row>
    <row r="15" ht="22.5" customHeight="1">
      <c r="A15" s="11">
        <v>40.0</v>
      </c>
      <c r="B15" s="12" t="str">
        <f>Usuarios!B41 &amp; " " &amp; Usuarios!C41 &amp; " " &amp; Usuarios!D41
</f>
        <v>Gloria  Levil </v>
      </c>
      <c r="C15" s="11">
        <f t="shared" si="1"/>
        <v>100</v>
      </c>
      <c r="D15" s="13"/>
      <c r="E15" s="11">
        <f t="shared" si="2"/>
        <v>-100</v>
      </c>
      <c r="F15" s="14">
        <v>1182.6</v>
      </c>
      <c r="G15" s="11">
        <f t="shared" si="3"/>
        <v>-118260</v>
      </c>
      <c r="H15" s="15">
        <v>5000.0</v>
      </c>
      <c r="I15" s="11">
        <f t="shared" si="4"/>
        <v>-113260</v>
      </c>
      <c r="J15" s="16">
        <v>45978.0</v>
      </c>
      <c r="K15" s="17" t="s">
        <v>149</v>
      </c>
      <c r="L15" s="17" t="s">
        <v>143</v>
      </c>
      <c r="M15" s="15">
        <f t="shared" si="5"/>
        <v>0</v>
      </c>
      <c r="N15" s="12"/>
      <c r="O15" s="12"/>
      <c r="P15" s="15">
        <f t="shared" si="6"/>
        <v>-113260</v>
      </c>
      <c r="Q15" s="15"/>
    </row>
    <row r="16" ht="22.5" customHeight="1">
      <c r="A16" s="11">
        <v>50.0</v>
      </c>
      <c r="B16" s="12" t="str">
        <f>Usuarios!B51 &amp; " " &amp; Usuarios!C51 &amp; " " &amp; Usuarios!D51
</f>
        <v>Gloria Isamar  Velasquez  Almonacid</v>
      </c>
      <c r="C16" s="11">
        <f t="shared" si="1"/>
        <v>83</v>
      </c>
      <c r="D16" s="13"/>
      <c r="E16" s="11">
        <f t="shared" si="2"/>
        <v>-83</v>
      </c>
      <c r="F16" s="14">
        <v>1182.6</v>
      </c>
      <c r="G16" s="11">
        <f t="shared" si="3"/>
        <v>-98155.8</v>
      </c>
      <c r="H16" s="15">
        <v>5000.0</v>
      </c>
      <c r="I16" s="11">
        <f t="shared" si="4"/>
        <v>-93155.8</v>
      </c>
      <c r="J16" s="16">
        <v>45979.0</v>
      </c>
      <c r="K16" s="17" t="s">
        <v>149</v>
      </c>
      <c r="L16" s="17" t="s">
        <v>143</v>
      </c>
      <c r="M16" s="15">
        <f t="shared" si="5"/>
        <v>0</v>
      </c>
      <c r="N16" s="12"/>
      <c r="O16" s="12"/>
      <c r="P16" s="15">
        <f t="shared" si="6"/>
        <v>-93155.8</v>
      </c>
      <c r="Q16" s="15"/>
    </row>
    <row r="17" ht="22.5" customHeight="1">
      <c r="A17" s="11">
        <v>26.0</v>
      </c>
      <c r="B17" s="12" t="str">
        <f>Usuarios!B27 &amp; " " &amp; Usuarios!C27 &amp; " " &amp; Usuarios!D27
</f>
        <v>Guido  Quintuy </v>
      </c>
      <c r="C17" s="11" t="str">
        <f t="shared" si="1"/>
        <v/>
      </c>
      <c r="D17" s="13"/>
      <c r="E17" s="11"/>
      <c r="F17" s="14"/>
      <c r="G17" s="11"/>
      <c r="H17" s="15"/>
      <c r="I17" s="11"/>
      <c r="J17" s="16">
        <v>45980.0</v>
      </c>
      <c r="K17" s="17" t="s">
        <v>149</v>
      </c>
      <c r="L17" s="17" t="s">
        <v>143</v>
      </c>
      <c r="M17" s="15"/>
      <c r="N17" s="12"/>
      <c r="O17" s="12"/>
      <c r="P17" s="15"/>
      <c r="Q17" s="15"/>
    </row>
    <row r="18" ht="22.5" customHeight="1">
      <c r="A18" s="11">
        <v>55.0</v>
      </c>
      <c r="B18" s="12" t="str">
        <f>Usuarios!B56 &amp; " " &amp; Usuarios!C56 &amp; " " &amp; Usuarios!D56
</f>
        <v>Guido  Quintuy - Sitio vacío </v>
      </c>
      <c r="C18" s="11">
        <f t="shared" si="1"/>
        <v>0</v>
      </c>
      <c r="D18" s="13"/>
      <c r="E18" s="11">
        <f t="shared" ref="E18:E45" si="7">D18-C18</f>
        <v>0</v>
      </c>
      <c r="F18" s="14">
        <v>1182.6</v>
      </c>
      <c r="G18" s="11">
        <f t="shared" ref="G18:G45" si="8">E18*F18</f>
        <v>0</v>
      </c>
      <c r="H18" s="15">
        <v>5000.0</v>
      </c>
      <c r="I18" s="11">
        <f t="shared" ref="I18:I45" si="9">E18*F18+H18</f>
        <v>5000</v>
      </c>
      <c r="J18" s="16">
        <v>45981.0</v>
      </c>
      <c r="K18" s="17" t="s">
        <v>149</v>
      </c>
      <c r="L18" s="17" t="s">
        <v>143</v>
      </c>
      <c r="M18" s="15">
        <f t="shared" ref="M18:M40" si="10">IF(L18="Pagado", I18, 0)</f>
        <v>0</v>
      </c>
      <c r="N18" s="12"/>
      <c r="O18" s="12"/>
      <c r="P18" s="15">
        <f t="shared" ref="P18:P57" si="11">IF(L18="NO APLICA",0, (I18-M18))</f>
        <v>5000</v>
      </c>
      <c r="Q18" s="15"/>
    </row>
    <row r="19" ht="22.5" customHeight="1">
      <c r="A19" s="11">
        <v>25.0</v>
      </c>
      <c r="B19" s="12" t="str">
        <f>Usuarios!B26 &amp; " " &amp; Usuarios!C26 &amp; " " &amp; Usuarios!D26
</f>
        <v>Inés  Velasquez </v>
      </c>
      <c r="C19" s="11">
        <f t="shared" si="1"/>
        <v>147</v>
      </c>
      <c r="D19" s="13"/>
      <c r="E19" s="11">
        <f t="shared" si="7"/>
        <v>-147</v>
      </c>
      <c r="F19" s="14">
        <v>1182.6</v>
      </c>
      <c r="G19" s="11">
        <f t="shared" si="8"/>
        <v>-173842.2</v>
      </c>
      <c r="H19" s="15">
        <v>5000.0</v>
      </c>
      <c r="I19" s="11">
        <f t="shared" si="9"/>
        <v>-168842.2</v>
      </c>
      <c r="J19" s="16">
        <v>45982.0</v>
      </c>
      <c r="K19" s="17" t="s">
        <v>149</v>
      </c>
      <c r="L19" s="17" t="s">
        <v>143</v>
      </c>
      <c r="M19" s="15">
        <f t="shared" si="10"/>
        <v>0</v>
      </c>
      <c r="N19" s="12"/>
      <c r="O19" s="12"/>
      <c r="P19" s="15">
        <f t="shared" si="11"/>
        <v>-168842.2</v>
      </c>
      <c r="Q19" s="15"/>
    </row>
    <row r="20" ht="22.5" customHeight="1">
      <c r="A20" s="11">
        <v>17.0</v>
      </c>
      <c r="B20" s="12" t="str">
        <f>Usuarios!B18 &amp; " " &amp; Usuarios!C18 &amp; " " &amp; Usuarios!D18
</f>
        <v>Joaquin  Claramunt </v>
      </c>
      <c r="C20" s="11">
        <f t="shared" si="1"/>
        <v>233</v>
      </c>
      <c r="D20" s="13"/>
      <c r="E20" s="11">
        <f t="shared" si="7"/>
        <v>-233</v>
      </c>
      <c r="F20" s="14">
        <v>1182.6</v>
      </c>
      <c r="G20" s="11">
        <f t="shared" si="8"/>
        <v>-275545.8</v>
      </c>
      <c r="H20" s="15">
        <v>5000.0</v>
      </c>
      <c r="I20" s="11">
        <f t="shared" si="9"/>
        <v>-270545.8</v>
      </c>
      <c r="J20" s="16">
        <v>45983.0</v>
      </c>
      <c r="K20" s="17" t="s">
        <v>149</v>
      </c>
      <c r="L20" s="17" t="s">
        <v>143</v>
      </c>
      <c r="M20" s="15">
        <f t="shared" si="10"/>
        <v>0</v>
      </c>
      <c r="N20" s="12"/>
      <c r="O20" s="12"/>
      <c r="P20" s="15">
        <f t="shared" si="11"/>
        <v>-270545.8</v>
      </c>
      <c r="Q20" s="15"/>
    </row>
    <row r="21" ht="22.5" customHeight="1">
      <c r="A21" s="11">
        <v>35.0</v>
      </c>
      <c r="B21" s="12" t="str">
        <f>Usuarios!B36 &amp; " " &amp; Usuarios!C36 &amp; " " &amp; Usuarios!D36
</f>
        <v>José  Paredes </v>
      </c>
      <c r="C21" s="11">
        <f t="shared" si="1"/>
        <v>0</v>
      </c>
      <c r="D21" s="13"/>
      <c r="E21" s="11">
        <f t="shared" si="7"/>
        <v>0</v>
      </c>
      <c r="F21" s="14">
        <v>1182.6</v>
      </c>
      <c r="G21" s="11">
        <f t="shared" si="8"/>
        <v>0</v>
      </c>
      <c r="H21" s="15">
        <v>5000.0</v>
      </c>
      <c r="I21" s="11">
        <f t="shared" si="9"/>
        <v>5000</v>
      </c>
      <c r="J21" s="16">
        <v>45984.0</v>
      </c>
      <c r="K21" s="17" t="s">
        <v>149</v>
      </c>
      <c r="L21" s="17" t="s">
        <v>143</v>
      </c>
      <c r="M21" s="15">
        <f t="shared" si="10"/>
        <v>0</v>
      </c>
      <c r="N21" s="12"/>
      <c r="O21" s="12"/>
      <c r="P21" s="15">
        <f t="shared" si="11"/>
        <v>5000</v>
      </c>
      <c r="Q21" s="15"/>
    </row>
    <row r="22" ht="22.5" customHeight="1">
      <c r="A22" s="11">
        <v>20.0</v>
      </c>
      <c r="B22" s="12" t="str">
        <f>Usuarios!B21 &amp; " " &amp; Usuarios!C21 &amp; " " &amp; Usuarios!D21
</f>
        <v>Juan  Chavez </v>
      </c>
      <c r="C22" s="11">
        <f t="shared" si="1"/>
        <v>30</v>
      </c>
      <c r="D22" s="13"/>
      <c r="E22" s="11">
        <f t="shared" si="7"/>
        <v>-30</v>
      </c>
      <c r="F22" s="14">
        <v>1182.6</v>
      </c>
      <c r="G22" s="11">
        <f t="shared" si="8"/>
        <v>-35478</v>
      </c>
      <c r="H22" s="15">
        <v>5000.0</v>
      </c>
      <c r="I22" s="11">
        <f t="shared" si="9"/>
        <v>-30478</v>
      </c>
      <c r="J22" s="16">
        <v>45985.0</v>
      </c>
      <c r="K22" s="17" t="s">
        <v>149</v>
      </c>
      <c r="L22" s="17" t="s">
        <v>143</v>
      </c>
      <c r="M22" s="15">
        <f t="shared" si="10"/>
        <v>0</v>
      </c>
      <c r="N22" s="12"/>
      <c r="O22" s="12"/>
      <c r="P22" s="15">
        <f t="shared" si="11"/>
        <v>-30478</v>
      </c>
      <c r="Q22" s="15"/>
    </row>
    <row r="23" ht="22.5" customHeight="1">
      <c r="A23" s="11">
        <v>42.0</v>
      </c>
      <c r="B23" s="12" t="str">
        <f>Usuarios!B43 &amp; " " &amp; Usuarios!C43 &amp; " " &amp; Usuarios!D43
</f>
        <v>Leo  Soto </v>
      </c>
      <c r="C23" s="11">
        <f t="shared" si="1"/>
        <v>0</v>
      </c>
      <c r="D23" s="13"/>
      <c r="E23" s="11">
        <f t="shared" si="7"/>
        <v>0</v>
      </c>
      <c r="F23" s="14">
        <v>1182.6</v>
      </c>
      <c r="G23" s="11">
        <f t="shared" si="8"/>
        <v>0</v>
      </c>
      <c r="H23" s="15">
        <v>5000.0</v>
      </c>
      <c r="I23" s="11">
        <f t="shared" si="9"/>
        <v>5000</v>
      </c>
      <c r="J23" s="16">
        <v>45986.0</v>
      </c>
      <c r="K23" s="17" t="s">
        <v>149</v>
      </c>
      <c r="L23" s="17" t="s">
        <v>143</v>
      </c>
      <c r="M23" s="15">
        <f t="shared" si="10"/>
        <v>0</v>
      </c>
      <c r="N23" s="12"/>
      <c r="O23" s="12"/>
      <c r="P23" s="15">
        <f t="shared" si="11"/>
        <v>5000</v>
      </c>
      <c r="Q23" s="15"/>
    </row>
    <row r="24" ht="22.5" customHeight="1">
      <c r="A24" s="11">
        <v>57.0</v>
      </c>
      <c r="B24" s="12" t="str">
        <f>Usuarios!B58 &amp; " " &amp; Usuarios!C58 &amp; " " &amp; Usuarios!D58
</f>
        <v>Lishby  Fuentes  Diaz</v>
      </c>
      <c r="C24" s="11">
        <f t="shared" si="1"/>
        <v>46</v>
      </c>
      <c r="D24" s="13"/>
      <c r="E24" s="11">
        <f t="shared" si="7"/>
        <v>-46</v>
      </c>
      <c r="F24" s="14">
        <v>1182.6</v>
      </c>
      <c r="G24" s="11">
        <f t="shared" si="8"/>
        <v>-54399.6</v>
      </c>
      <c r="H24" s="15">
        <v>5000.0</v>
      </c>
      <c r="I24" s="11">
        <f t="shared" si="9"/>
        <v>-49399.6</v>
      </c>
      <c r="J24" s="16">
        <v>45987.0</v>
      </c>
      <c r="K24" s="17" t="s">
        <v>149</v>
      </c>
      <c r="L24" s="17" t="s">
        <v>143</v>
      </c>
      <c r="M24" s="15">
        <f t="shared" si="10"/>
        <v>0</v>
      </c>
      <c r="N24" s="12"/>
      <c r="O24" s="12"/>
      <c r="P24" s="15">
        <f t="shared" si="11"/>
        <v>-49399.6</v>
      </c>
      <c r="Q24" s="15"/>
    </row>
    <row r="25" ht="22.5" customHeight="1">
      <c r="A25" s="11">
        <v>48.0</v>
      </c>
      <c r="B25" s="12" t="str">
        <f>Usuarios!B49 &amp; " " &amp; Usuarios!C49 &amp; " " &amp; Usuarios!D49
</f>
        <v>Luis Vicente   Mondaca  Muñoz</v>
      </c>
      <c r="C25" s="11">
        <f t="shared" si="1"/>
        <v>389</v>
      </c>
      <c r="D25" s="13"/>
      <c r="E25" s="11">
        <f t="shared" si="7"/>
        <v>-389</v>
      </c>
      <c r="F25" s="14">
        <v>1182.6</v>
      </c>
      <c r="G25" s="11">
        <f t="shared" si="8"/>
        <v>-460031.4</v>
      </c>
      <c r="H25" s="15">
        <v>5000.0</v>
      </c>
      <c r="I25" s="11">
        <f t="shared" si="9"/>
        <v>-455031.4</v>
      </c>
      <c r="J25" s="16">
        <v>45988.0</v>
      </c>
      <c r="K25" s="17" t="s">
        <v>149</v>
      </c>
      <c r="L25" s="17" t="s">
        <v>143</v>
      </c>
      <c r="M25" s="15">
        <f t="shared" si="10"/>
        <v>0</v>
      </c>
      <c r="N25" s="12"/>
      <c r="O25" s="12"/>
      <c r="P25" s="15">
        <f t="shared" si="11"/>
        <v>-455031.4</v>
      </c>
      <c r="Q25" s="15"/>
    </row>
    <row r="26" ht="22.5" customHeight="1">
      <c r="A26" s="11">
        <v>30.0</v>
      </c>
      <c r="B26" s="12" t="str">
        <f>Usuarios!B31 &amp; " " &amp; Usuarios!C31 &amp; " " &amp; Usuarios!D31
</f>
        <v>Luz  Maldonado </v>
      </c>
      <c r="C26" s="11" t="str">
        <f t="shared" si="1"/>
        <v/>
      </c>
      <c r="D26" s="13"/>
      <c r="E26" s="11">
        <f t="shared" si="7"/>
        <v>0</v>
      </c>
      <c r="F26" s="14">
        <v>1182.6</v>
      </c>
      <c r="G26" s="11">
        <f t="shared" si="8"/>
        <v>0</v>
      </c>
      <c r="H26" s="15">
        <v>5000.0</v>
      </c>
      <c r="I26" s="11">
        <f t="shared" si="9"/>
        <v>5000</v>
      </c>
      <c r="J26" s="16">
        <v>45989.0</v>
      </c>
      <c r="K26" s="17" t="s">
        <v>149</v>
      </c>
      <c r="L26" s="17" t="s">
        <v>143</v>
      </c>
      <c r="M26" s="15">
        <f t="shared" si="10"/>
        <v>0</v>
      </c>
      <c r="N26" s="12"/>
      <c r="O26" s="12"/>
      <c r="P26" s="15">
        <f t="shared" si="11"/>
        <v>5000</v>
      </c>
      <c r="Q26" s="15"/>
    </row>
    <row r="27" ht="22.5" customHeight="1">
      <c r="A27" s="11">
        <v>7.0</v>
      </c>
      <c r="B27" s="12" t="str">
        <f>Usuarios!B8 &amp; " " &amp; Usuarios!C8 &amp; " " &amp; Usuarios!D8
</f>
        <v>Marcelo  Millanao </v>
      </c>
      <c r="C27" s="11">
        <f t="shared" si="1"/>
        <v>309</v>
      </c>
      <c r="D27" s="13"/>
      <c r="E27" s="11">
        <f t="shared" si="7"/>
        <v>-309</v>
      </c>
      <c r="F27" s="14">
        <v>1182.6</v>
      </c>
      <c r="G27" s="11">
        <f t="shared" si="8"/>
        <v>-365423.4</v>
      </c>
      <c r="H27" s="15">
        <v>5000.0</v>
      </c>
      <c r="I27" s="11">
        <f t="shared" si="9"/>
        <v>-360423.4</v>
      </c>
      <c r="J27" s="16">
        <v>45990.0</v>
      </c>
      <c r="K27" s="17" t="s">
        <v>149</v>
      </c>
      <c r="L27" s="17" t="s">
        <v>143</v>
      </c>
      <c r="M27" s="15">
        <f t="shared" si="10"/>
        <v>0</v>
      </c>
      <c r="N27" s="12"/>
      <c r="O27" s="12"/>
      <c r="P27" s="15">
        <f t="shared" si="11"/>
        <v>-360423.4</v>
      </c>
      <c r="Q27" s="15"/>
    </row>
    <row r="28" ht="22.5" customHeight="1">
      <c r="A28" s="11">
        <v>51.0</v>
      </c>
      <c r="B28" s="12" t="str">
        <f>Usuarios!B52 &amp; " " &amp; Usuarios!C52 &amp; " " &amp; Usuarios!D52
</f>
        <v>Maria  Manquian </v>
      </c>
      <c r="C28" s="11" t="str">
        <f t="shared" si="1"/>
        <v/>
      </c>
      <c r="D28" s="13"/>
      <c r="E28" s="11">
        <f t="shared" si="7"/>
        <v>0</v>
      </c>
      <c r="F28" s="14">
        <v>1182.6</v>
      </c>
      <c r="G28" s="11">
        <f t="shared" si="8"/>
        <v>0</v>
      </c>
      <c r="H28" s="15">
        <v>5000.0</v>
      </c>
      <c r="I28" s="11">
        <f t="shared" si="9"/>
        <v>5000</v>
      </c>
      <c r="J28" s="16">
        <v>45991.0</v>
      </c>
      <c r="K28" s="17" t="s">
        <v>149</v>
      </c>
      <c r="L28" s="17" t="s">
        <v>143</v>
      </c>
      <c r="M28" s="15">
        <f t="shared" si="10"/>
        <v>0</v>
      </c>
      <c r="N28" s="12"/>
      <c r="O28" s="12"/>
      <c r="P28" s="15">
        <f t="shared" si="11"/>
        <v>5000</v>
      </c>
      <c r="Q28" s="15"/>
    </row>
    <row r="29" ht="22.5" customHeight="1">
      <c r="A29" s="11">
        <v>9.0</v>
      </c>
      <c r="B29" s="12" t="str">
        <f>Usuarios!B10 &amp; " " &amp; Usuarios!C10 &amp; " " &amp; Usuarios!D10
</f>
        <v>Maria  Marin </v>
      </c>
      <c r="C29" s="11" t="str">
        <f t="shared" si="1"/>
        <v/>
      </c>
      <c r="D29" s="13"/>
      <c r="E29" s="11">
        <f t="shared" si="7"/>
        <v>0</v>
      </c>
      <c r="F29" s="14">
        <v>1182.6</v>
      </c>
      <c r="G29" s="11">
        <f t="shared" si="8"/>
        <v>0</v>
      </c>
      <c r="H29" s="15">
        <v>5000.0</v>
      </c>
      <c r="I29" s="11">
        <f t="shared" si="9"/>
        <v>5000</v>
      </c>
      <c r="J29" s="16">
        <v>45992.0</v>
      </c>
      <c r="K29" s="17" t="s">
        <v>149</v>
      </c>
      <c r="L29" s="17" t="s">
        <v>143</v>
      </c>
      <c r="M29" s="15">
        <f t="shared" si="10"/>
        <v>0</v>
      </c>
      <c r="N29" s="12"/>
      <c r="O29" s="12"/>
      <c r="P29" s="15">
        <f t="shared" si="11"/>
        <v>5000</v>
      </c>
      <c r="Q29" s="15"/>
    </row>
    <row r="30" ht="22.5" customHeight="1">
      <c r="A30" s="11">
        <v>33.0</v>
      </c>
      <c r="B30" s="12" t="str">
        <f>Usuarios!B34 &amp; " " &amp; Usuarios!C34 &amp; " " &amp; Usuarios!D34
</f>
        <v>Maria Oliva  Soto  Almonacid</v>
      </c>
      <c r="C30" s="11" t="str">
        <f t="shared" si="1"/>
        <v/>
      </c>
      <c r="D30" s="13"/>
      <c r="E30" s="11">
        <f t="shared" si="7"/>
        <v>0</v>
      </c>
      <c r="F30" s="14">
        <v>1182.6</v>
      </c>
      <c r="G30" s="11">
        <f t="shared" si="8"/>
        <v>0</v>
      </c>
      <c r="H30" s="15">
        <v>5000.0</v>
      </c>
      <c r="I30" s="11">
        <f t="shared" si="9"/>
        <v>5000</v>
      </c>
      <c r="J30" s="16">
        <v>45993.0</v>
      </c>
      <c r="K30" s="17" t="s">
        <v>149</v>
      </c>
      <c r="L30" s="17" t="s">
        <v>143</v>
      </c>
      <c r="M30" s="15">
        <f t="shared" si="10"/>
        <v>0</v>
      </c>
      <c r="N30" s="12"/>
      <c r="O30" s="12"/>
      <c r="P30" s="15">
        <f t="shared" si="11"/>
        <v>5000</v>
      </c>
      <c r="Q30" s="15"/>
    </row>
    <row r="31" ht="22.5" customHeight="1">
      <c r="A31" s="11">
        <v>44.0</v>
      </c>
      <c r="B31" s="12" t="str">
        <f>Usuarios!B45 &amp; " " &amp; Usuarios!C45 &amp; " " &amp; Usuarios!D45
</f>
        <v>María Sonia  Quintui </v>
      </c>
      <c r="C31" s="11" t="str">
        <f t="shared" si="1"/>
        <v/>
      </c>
      <c r="D31" s="13"/>
      <c r="E31" s="11">
        <f t="shared" si="7"/>
        <v>0</v>
      </c>
      <c r="F31" s="14">
        <v>1182.6</v>
      </c>
      <c r="G31" s="11">
        <f t="shared" si="8"/>
        <v>0</v>
      </c>
      <c r="H31" s="15">
        <v>5000.0</v>
      </c>
      <c r="I31" s="11">
        <f t="shared" si="9"/>
        <v>5000</v>
      </c>
      <c r="J31" s="16">
        <v>45994.0</v>
      </c>
      <c r="K31" s="17" t="s">
        <v>149</v>
      </c>
      <c r="L31" s="17" t="s">
        <v>143</v>
      </c>
      <c r="M31" s="15">
        <f t="shared" si="10"/>
        <v>0</v>
      </c>
      <c r="N31" s="12"/>
      <c r="O31" s="12"/>
      <c r="P31" s="15">
        <f t="shared" si="11"/>
        <v>5000</v>
      </c>
      <c r="Q31" s="15"/>
    </row>
    <row r="32" ht="22.5" customHeight="1">
      <c r="A32" s="11">
        <v>24.0</v>
      </c>
      <c r="B32" s="12" t="str">
        <f>Usuarios!B25 &amp; " " &amp; Usuarios!C25 &amp; " " &amp; Usuarios!D25
</f>
        <v>Maria Velasquez  Miranda</v>
      </c>
      <c r="C32" s="11" t="str">
        <f t="shared" si="1"/>
        <v/>
      </c>
      <c r="D32" s="13"/>
      <c r="E32" s="11">
        <f t="shared" si="7"/>
        <v>0</v>
      </c>
      <c r="F32" s="14">
        <v>1182.6</v>
      </c>
      <c r="G32" s="11">
        <f t="shared" si="8"/>
        <v>0</v>
      </c>
      <c r="H32" s="15">
        <v>5000.0</v>
      </c>
      <c r="I32" s="11">
        <f t="shared" si="9"/>
        <v>5000</v>
      </c>
      <c r="J32" s="16">
        <v>45995.0</v>
      </c>
      <c r="K32" s="17" t="s">
        <v>149</v>
      </c>
      <c r="L32" s="17" t="s">
        <v>143</v>
      </c>
      <c r="M32" s="15">
        <f t="shared" si="10"/>
        <v>0</v>
      </c>
      <c r="N32" s="12"/>
      <c r="O32" s="12"/>
      <c r="P32" s="15">
        <f t="shared" si="11"/>
        <v>5000</v>
      </c>
      <c r="Q32" s="15"/>
    </row>
    <row r="33" ht="22.5" customHeight="1">
      <c r="A33" s="11">
        <v>56.0</v>
      </c>
      <c r="B33" s="12" t="str">
        <f>Usuarios!B57 &amp; " " &amp; Usuarios!C57 &amp; " " &amp; Usuarios!D57
</f>
        <v>Mario  Velasquez </v>
      </c>
      <c r="C33" s="11" t="str">
        <f t="shared" si="1"/>
        <v/>
      </c>
      <c r="D33" s="13"/>
      <c r="E33" s="11">
        <f t="shared" si="7"/>
        <v>0</v>
      </c>
      <c r="F33" s="14">
        <v>1182.6</v>
      </c>
      <c r="G33" s="11">
        <f t="shared" si="8"/>
        <v>0</v>
      </c>
      <c r="H33" s="15">
        <v>5000.0</v>
      </c>
      <c r="I33" s="11">
        <f t="shared" si="9"/>
        <v>5000</v>
      </c>
      <c r="J33" s="16">
        <v>45996.0</v>
      </c>
      <c r="K33" s="17" t="s">
        <v>149</v>
      </c>
      <c r="L33" s="17" t="s">
        <v>143</v>
      </c>
      <c r="M33" s="15">
        <f t="shared" si="10"/>
        <v>0</v>
      </c>
      <c r="N33" s="12"/>
      <c r="O33" s="12"/>
      <c r="P33" s="15">
        <f t="shared" si="11"/>
        <v>5000</v>
      </c>
      <c r="Q33" s="15"/>
    </row>
    <row r="34" ht="22.5" customHeight="1">
      <c r="A34" s="11">
        <v>5.0</v>
      </c>
      <c r="B34" s="12" t="str">
        <f>Usuarios!B6 &amp; " " &amp; Usuarios!C6 &amp; " " &amp; Usuarios!D6
</f>
        <v>Marisol  Castro </v>
      </c>
      <c r="C34" s="11" t="str">
        <f t="shared" si="1"/>
        <v/>
      </c>
      <c r="D34" s="13"/>
      <c r="E34" s="11">
        <f t="shared" si="7"/>
        <v>0</v>
      </c>
      <c r="F34" s="14">
        <v>1182.6</v>
      </c>
      <c r="G34" s="11">
        <f t="shared" si="8"/>
        <v>0</v>
      </c>
      <c r="H34" s="15">
        <v>5000.0</v>
      </c>
      <c r="I34" s="11">
        <f t="shared" si="9"/>
        <v>5000</v>
      </c>
      <c r="J34" s="16">
        <v>45997.0</v>
      </c>
      <c r="K34" s="17" t="s">
        <v>149</v>
      </c>
      <c r="L34" s="17" t="s">
        <v>143</v>
      </c>
      <c r="M34" s="15">
        <f t="shared" si="10"/>
        <v>0</v>
      </c>
      <c r="N34" s="12"/>
      <c r="O34" s="12"/>
      <c r="P34" s="15">
        <f t="shared" si="11"/>
        <v>5000</v>
      </c>
      <c r="Q34" s="15"/>
    </row>
    <row r="35" ht="22.5" customHeight="1">
      <c r="A35" s="11">
        <v>6.0</v>
      </c>
      <c r="B35" s="12" t="str">
        <f>Usuarios!B7 &amp; " " &amp; Usuarios!C7 &amp; " " &amp; Usuarios!D7
</f>
        <v>Mauricio  Muñoz </v>
      </c>
      <c r="C35" s="11" t="str">
        <f t="shared" si="1"/>
        <v/>
      </c>
      <c r="D35" s="13"/>
      <c r="E35" s="11">
        <f t="shared" si="7"/>
        <v>0</v>
      </c>
      <c r="F35" s="14">
        <v>1182.6</v>
      </c>
      <c r="G35" s="11">
        <f t="shared" si="8"/>
        <v>0</v>
      </c>
      <c r="H35" s="15">
        <v>5000.0</v>
      </c>
      <c r="I35" s="11">
        <f t="shared" si="9"/>
        <v>5000</v>
      </c>
      <c r="J35" s="16">
        <v>45998.0</v>
      </c>
      <c r="K35" s="17" t="s">
        <v>149</v>
      </c>
      <c r="L35" s="17" t="s">
        <v>143</v>
      </c>
      <c r="M35" s="15">
        <f t="shared" si="10"/>
        <v>0</v>
      </c>
      <c r="N35" s="16"/>
      <c r="O35" s="12"/>
      <c r="P35" s="15">
        <f t="shared" si="11"/>
        <v>5000</v>
      </c>
      <c r="Q35" s="15"/>
    </row>
    <row r="36" ht="22.5" customHeight="1">
      <c r="A36" s="11">
        <v>46.0</v>
      </c>
      <c r="B36" s="12" t="str">
        <f>Usuarios!B47 &amp; " " &amp; Usuarios!C47 &amp; " " &amp; Usuarios!D47
</f>
        <v>Mauricio  Muñoz taller </v>
      </c>
      <c r="C36" s="11" t="str">
        <f t="shared" si="1"/>
        <v/>
      </c>
      <c r="D36" s="13"/>
      <c r="E36" s="11">
        <f t="shared" si="7"/>
        <v>0</v>
      </c>
      <c r="F36" s="14">
        <v>1182.6</v>
      </c>
      <c r="G36" s="11">
        <f t="shared" si="8"/>
        <v>0</v>
      </c>
      <c r="H36" s="15">
        <v>5000.0</v>
      </c>
      <c r="I36" s="11">
        <f t="shared" si="9"/>
        <v>5000</v>
      </c>
      <c r="J36" s="16">
        <v>45999.0</v>
      </c>
      <c r="K36" s="17" t="s">
        <v>149</v>
      </c>
      <c r="L36" s="17" t="s">
        <v>143</v>
      </c>
      <c r="M36" s="15">
        <f t="shared" si="10"/>
        <v>0</v>
      </c>
      <c r="N36" s="12"/>
      <c r="O36" s="12"/>
      <c r="P36" s="15">
        <f t="shared" si="11"/>
        <v>5000</v>
      </c>
      <c r="Q36" s="15"/>
    </row>
    <row r="37" ht="22.5" customHeight="1">
      <c r="A37" s="11">
        <v>11.0</v>
      </c>
      <c r="B37" s="12" t="str">
        <f>Usuarios!B12 &amp; " " &amp; Usuarios!C12 &amp; " " &amp; Usuarios!D12
</f>
        <v>Miguel  Ñanco </v>
      </c>
      <c r="C37" s="11" t="str">
        <f t="shared" si="1"/>
        <v/>
      </c>
      <c r="D37" s="13"/>
      <c r="E37" s="11">
        <f t="shared" si="7"/>
        <v>0</v>
      </c>
      <c r="F37" s="14">
        <v>1182.6</v>
      </c>
      <c r="G37" s="11">
        <f t="shared" si="8"/>
        <v>0</v>
      </c>
      <c r="H37" s="15">
        <v>5000.0</v>
      </c>
      <c r="I37" s="11">
        <f t="shared" si="9"/>
        <v>5000</v>
      </c>
      <c r="J37" s="16">
        <v>46000.0</v>
      </c>
      <c r="K37" s="17" t="s">
        <v>149</v>
      </c>
      <c r="L37" s="17" t="s">
        <v>143</v>
      </c>
      <c r="M37" s="15">
        <f t="shared" si="10"/>
        <v>0</v>
      </c>
      <c r="N37" s="12"/>
      <c r="O37" s="12"/>
      <c r="P37" s="15">
        <f t="shared" si="11"/>
        <v>5000</v>
      </c>
      <c r="Q37" s="15"/>
    </row>
    <row r="38" ht="22.5" customHeight="1">
      <c r="A38" s="11">
        <v>29.0</v>
      </c>
      <c r="B38" s="12" t="str">
        <f>Usuarios!B30 &amp; " " &amp; Usuarios!C30 &amp; " " &amp; Usuarios!D30
</f>
        <v>Miriam  Alvarado </v>
      </c>
      <c r="C38" s="11" t="str">
        <f t="shared" si="1"/>
        <v/>
      </c>
      <c r="D38" s="13"/>
      <c r="E38" s="11">
        <f t="shared" si="7"/>
        <v>0</v>
      </c>
      <c r="F38" s="14">
        <v>1182.6</v>
      </c>
      <c r="G38" s="11">
        <f t="shared" si="8"/>
        <v>0</v>
      </c>
      <c r="H38" s="15">
        <v>5000.0</v>
      </c>
      <c r="I38" s="11">
        <f t="shared" si="9"/>
        <v>5000</v>
      </c>
      <c r="J38" s="16">
        <v>46001.0</v>
      </c>
      <c r="K38" s="17" t="s">
        <v>149</v>
      </c>
      <c r="L38" s="17" t="s">
        <v>143</v>
      </c>
      <c r="M38" s="15">
        <f t="shared" si="10"/>
        <v>0</v>
      </c>
      <c r="N38" s="12"/>
      <c r="O38" s="12"/>
      <c r="P38" s="15">
        <f t="shared" si="11"/>
        <v>5000</v>
      </c>
      <c r="Q38" s="15"/>
    </row>
    <row r="39" ht="22.5" customHeight="1">
      <c r="A39" s="11">
        <v>45.0</v>
      </c>
      <c r="B39" s="12" t="str">
        <f>Usuarios!B46 &amp; " " &amp; Usuarios!C46 &amp; " " &amp; Usuarios!D46
</f>
        <v>Monica  Cuello </v>
      </c>
      <c r="C39" s="11" t="str">
        <f t="shared" si="1"/>
        <v/>
      </c>
      <c r="D39" s="13"/>
      <c r="E39" s="11">
        <f t="shared" si="7"/>
        <v>0</v>
      </c>
      <c r="F39" s="14">
        <v>1182.6</v>
      </c>
      <c r="G39" s="11">
        <f t="shared" si="8"/>
        <v>0</v>
      </c>
      <c r="H39" s="15">
        <v>5000.0</v>
      </c>
      <c r="I39" s="11">
        <f t="shared" si="9"/>
        <v>5000</v>
      </c>
      <c r="J39" s="16">
        <v>46002.0</v>
      </c>
      <c r="K39" s="17" t="s">
        <v>149</v>
      </c>
      <c r="L39" s="17" t="s">
        <v>143</v>
      </c>
      <c r="M39" s="15">
        <f t="shared" si="10"/>
        <v>0</v>
      </c>
      <c r="N39" s="12"/>
      <c r="O39" s="12"/>
      <c r="P39" s="15">
        <f t="shared" si="11"/>
        <v>5000</v>
      </c>
      <c r="Q39" s="15"/>
    </row>
    <row r="40" ht="22.5" customHeight="1">
      <c r="A40" s="11">
        <v>1.0</v>
      </c>
      <c r="B40" s="12" t="str">
        <f>Usuarios!B2 &amp; " " &amp; Usuarios!C2 &amp; " " &amp; Usuarios!D2
</f>
        <v>Nancy Zuñiga Villarroel</v>
      </c>
      <c r="C40" s="11" t="str">
        <f t="shared" si="1"/>
        <v/>
      </c>
      <c r="D40" s="13"/>
      <c r="E40" s="11">
        <f t="shared" si="7"/>
        <v>0</v>
      </c>
      <c r="F40" s="14">
        <v>1182.6</v>
      </c>
      <c r="G40" s="11">
        <f t="shared" si="8"/>
        <v>0</v>
      </c>
      <c r="H40" s="15">
        <v>5000.0</v>
      </c>
      <c r="I40" s="11">
        <f t="shared" si="9"/>
        <v>5000</v>
      </c>
      <c r="J40" s="16">
        <v>46003.0</v>
      </c>
      <c r="K40" s="17" t="s">
        <v>149</v>
      </c>
      <c r="L40" s="17" t="s">
        <v>143</v>
      </c>
      <c r="M40" s="15">
        <f t="shared" si="10"/>
        <v>0</v>
      </c>
      <c r="N40" s="12"/>
      <c r="O40" s="12"/>
      <c r="P40" s="15">
        <f t="shared" si="11"/>
        <v>5000</v>
      </c>
      <c r="Q40" s="15"/>
    </row>
    <row r="41" ht="22.5" customHeight="1">
      <c r="A41" s="11">
        <v>32.0</v>
      </c>
      <c r="B41" s="12" t="str">
        <f>Usuarios!B33 &amp; " " &amp; Usuarios!C33 &amp; " " &amp; Usuarios!D33
</f>
        <v>Natividad  Soto </v>
      </c>
      <c r="C41" s="11" t="str">
        <f t="shared" si="1"/>
        <v/>
      </c>
      <c r="D41" s="13"/>
      <c r="E41" s="11">
        <f t="shared" si="7"/>
        <v>0</v>
      </c>
      <c r="F41" s="14">
        <v>1182.6</v>
      </c>
      <c r="G41" s="11">
        <f t="shared" si="8"/>
        <v>0</v>
      </c>
      <c r="H41" s="15">
        <v>5000.0</v>
      </c>
      <c r="I41" s="11">
        <f t="shared" si="9"/>
        <v>5000</v>
      </c>
      <c r="J41" s="16">
        <v>46004.0</v>
      </c>
      <c r="K41" s="17" t="s">
        <v>149</v>
      </c>
      <c r="L41" s="17" t="s">
        <v>143</v>
      </c>
      <c r="M41" s="19">
        <v>0.0</v>
      </c>
      <c r="N41" s="12"/>
      <c r="O41" s="12"/>
      <c r="P41" s="15">
        <f t="shared" si="11"/>
        <v>5000</v>
      </c>
      <c r="Q41" s="15"/>
    </row>
    <row r="42" ht="22.5" customHeight="1">
      <c r="A42" s="11">
        <v>18.0</v>
      </c>
      <c r="B42" s="12" t="str">
        <f>Usuarios!B19 &amp; " " &amp; Usuarios!C19 &amp; " " &amp; Usuarios!D19
</f>
        <v>Nelson  Mansilla </v>
      </c>
      <c r="C42" s="11" t="str">
        <f t="shared" si="1"/>
        <v/>
      </c>
      <c r="D42" s="13"/>
      <c r="E42" s="11">
        <f t="shared" si="7"/>
        <v>0</v>
      </c>
      <c r="F42" s="14">
        <v>1182.6</v>
      </c>
      <c r="G42" s="11">
        <f t="shared" si="8"/>
        <v>0</v>
      </c>
      <c r="H42" s="15">
        <v>5000.0</v>
      </c>
      <c r="I42" s="11">
        <f t="shared" si="9"/>
        <v>5000</v>
      </c>
      <c r="J42" s="16">
        <v>46005.0</v>
      </c>
      <c r="K42" s="17" t="s">
        <v>149</v>
      </c>
      <c r="L42" s="17" t="s">
        <v>143</v>
      </c>
      <c r="M42" s="15">
        <f t="shared" ref="M42:M57" si="12">IF(L42="Pagado", I42, 0)</f>
        <v>0</v>
      </c>
      <c r="N42" s="12"/>
      <c r="O42" s="12"/>
      <c r="P42" s="15">
        <f t="shared" si="11"/>
        <v>5000</v>
      </c>
      <c r="Q42" s="15"/>
    </row>
    <row r="43" ht="22.5" customHeight="1">
      <c r="A43" s="11">
        <v>53.0</v>
      </c>
      <c r="B43" s="12" t="str">
        <f>Usuarios!B54 &amp; " " &amp; Usuarios!C54 &amp; " " &amp; Usuarios!D54
</f>
        <v>Nicolas Andres  Cardenas Bustamante</v>
      </c>
      <c r="C43" s="11" t="str">
        <f t="shared" si="1"/>
        <v/>
      </c>
      <c r="D43" s="13"/>
      <c r="E43" s="11">
        <f t="shared" si="7"/>
        <v>0</v>
      </c>
      <c r="F43" s="14">
        <v>1182.6</v>
      </c>
      <c r="G43" s="11">
        <f t="shared" si="8"/>
        <v>0</v>
      </c>
      <c r="H43" s="15">
        <v>5000.0</v>
      </c>
      <c r="I43" s="11">
        <f t="shared" si="9"/>
        <v>5000</v>
      </c>
      <c r="J43" s="16">
        <v>46006.0</v>
      </c>
      <c r="K43" s="17" t="s">
        <v>149</v>
      </c>
      <c r="L43" s="17" t="s">
        <v>143</v>
      </c>
      <c r="M43" s="15">
        <f t="shared" si="12"/>
        <v>0</v>
      </c>
      <c r="N43" s="12"/>
      <c r="O43" s="12"/>
      <c r="P43" s="15">
        <f t="shared" si="11"/>
        <v>5000</v>
      </c>
      <c r="Q43" s="15"/>
    </row>
    <row r="44" ht="22.5" customHeight="1">
      <c r="A44" s="11">
        <v>28.0</v>
      </c>
      <c r="B44" s="12" t="str">
        <f>Usuarios!B29 &amp; " " &amp; Usuarios!C29 &amp; " " &amp; Usuarios!D29
</f>
        <v>Nora  Ñanco </v>
      </c>
      <c r="C44" s="11" t="str">
        <f t="shared" si="1"/>
        <v/>
      </c>
      <c r="D44" s="13"/>
      <c r="E44" s="11">
        <f t="shared" si="7"/>
        <v>0</v>
      </c>
      <c r="F44" s="14">
        <v>1182.6</v>
      </c>
      <c r="G44" s="11">
        <f t="shared" si="8"/>
        <v>0</v>
      </c>
      <c r="H44" s="15">
        <v>5000.0</v>
      </c>
      <c r="I44" s="11">
        <f t="shared" si="9"/>
        <v>5000</v>
      </c>
      <c r="J44" s="16">
        <v>46007.0</v>
      </c>
      <c r="K44" s="17" t="s">
        <v>149</v>
      </c>
      <c r="L44" s="17" t="s">
        <v>143</v>
      </c>
      <c r="M44" s="15">
        <f t="shared" si="12"/>
        <v>0</v>
      </c>
      <c r="N44" s="12"/>
      <c r="O44" s="12"/>
      <c r="P44" s="15">
        <f t="shared" si="11"/>
        <v>5000</v>
      </c>
      <c r="Q44" s="15"/>
    </row>
    <row r="45" ht="22.5" customHeight="1">
      <c r="A45" s="11">
        <v>38.0</v>
      </c>
      <c r="B45" s="12" t="str">
        <f>Usuarios!B39 &amp; " " &amp; Usuarios!C39 &amp; " " &amp; Usuarios!D39
</f>
        <v>Norma  Sanchez </v>
      </c>
      <c r="C45" s="11" t="str">
        <f t="shared" si="1"/>
        <v/>
      </c>
      <c r="D45" s="13"/>
      <c r="E45" s="11">
        <f t="shared" si="7"/>
        <v>0</v>
      </c>
      <c r="F45" s="14">
        <v>1182.6</v>
      </c>
      <c r="G45" s="11">
        <f t="shared" si="8"/>
        <v>0</v>
      </c>
      <c r="H45" s="15">
        <v>5000.0</v>
      </c>
      <c r="I45" s="11">
        <f t="shared" si="9"/>
        <v>5000</v>
      </c>
      <c r="J45" s="16">
        <v>46008.0</v>
      </c>
      <c r="K45" s="17" t="s">
        <v>149</v>
      </c>
      <c r="L45" s="17" t="s">
        <v>143</v>
      </c>
      <c r="M45" s="15">
        <f t="shared" si="12"/>
        <v>0</v>
      </c>
      <c r="N45" s="12"/>
      <c r="O45" s="12"/>
      <c r="P45" s="15">
        <f t="shared" si="11"/>
        <v>5000</v>
      </c>
      <c r="Q45" s="15"/>
    </row>
    <row r="46" ht="22.5" customHeight="1">
      <c r="A46" s="11">
        <v>47.0</v>
      </c>
      <c r="B46" s="12" t="str">
        <f>Usuarios!B48 &amp; " " &amp; Usuarios!C48 &amp; " " &amp; Usuarios!D48
</f>
        <v>Pablo  Contreras </v>
      </c>
      <c r="C46" s="11" t="str">
        <f t="shared" si="1"/>
        <v/>
      </c>
      <c r="D46" s="13"/>
      <c r="E46" s="11"/>
      <c r="F46" s="14"/>
      <c r="G46" s="11"/>
      <c r="H46" s="15"/>
      <c r="I46" s="11"/>
      <c r="J46" s="16">
        <v>46009.0</v>
      </c>
      <c r="K46" s="17" t="s">
        <v>149</v>
      </c>
      <c r="L46" s="17" t="s">
        <v>144</v>
      </c>
      <c r="M46" s="15">
        <f t="shared" si="12"/>
        <v>0</v>
      </c>
      <c r="N46" s="12"/>
      <c r="O46" s="12"/>
      <c r="P46" s="15">
        <f t="shared" si="11"/>
        <v>0</v>
      </c>
      <c r="Q46" s="15"/>
    </row>
    <row r="47" ht="22.5" customHeight="1">
      <c r="A47" s="11">
        <v>31.0</v>
      </c>
      <c r="B47" s="12" t="str">
        <f>Usuarios!B32 &amp; " " &amp; Usuarios!C32 &amp; " " &amp; Usuarios!D32
</f>
        <v>Patricia  Carcamo  Gonzales</v>
      </c>
      <c r="C47" s="11" t="str">
        <f t="shared" si="1"/>
        <v/>
      </c>
      <c r="D47" s="13"/>
      <c r="E47" s="11">
        <f t="shared" ref="E47:E57" si="13">D47-C47</f>
        <v>0</v>
      </c>
      <c r="F47" s="14">
        <v>1182.6</v>
      </c>
      <c r="G47" s="11">
        <f t="shared" ref="G47:G57" si="14">E47*F47</f>
        <v>0</v>
      </c>
      <c r="H47" s="15">
        <v>5000.0</v>
      </c>
      <c r="I47" s="11">
        <f t="shared" ref="I47:I57" si="15">E47*F47+H47</f>
        <v>5000</v>
      </c>
      <c r="J47" s="16">
        <v>46010.0</v>
      </c>
      <c r="K47" s="17" t="s">
        <v>149</v>
      </c>
      <c r="L47" s="17" t="s">
        <v>143</v>
      </c>
      <c r="M47" s="15">
        <f t="shared" si="12"/>
        <v>0</v>
      </c>
      <c r="N47" s="12"/>
      <c r="O47" s="12"/>
      <c r="P47" s="15">
        <f t="shared" si="11"/>
        <v>5000</v>
      </c>
      <c r="Q47" s="15"/>
    </row>
    <row r="48" ht="22.5" customHeight="1">
      <c r="A48" s="11">
        <v>37.0</v>
      </c>
      <c r="B48" s="12" t="str">
        <f>Usuarios!B38 &amp; " " &amp; Usuarios!C38 &amp; " " &amp; Usuarios!D38
</f>
        <v>Patricio Alvarez Mancilla</v>
      </c>
      <c r="C48" s="11" t="str">
        <f t="shared" si="1"/>
        <v/>
      </c>
      <c r="D48" s="13"/>
      <c r="E48" s="11">
        <f t="shared" si="13"/>
        <v>0</v>
      </c>
      <c r="F48" s="14">
        <v>1182.6</v>
      </c>
      <c r="G48" s="11">
        <f t="shared" si="14"/>
        <v>0</v>
      </c>
      <c r="H48" s="15">
        <v>5000.0</v>
      </c>
      <c r="I48" s="11">
        <f t="shared" si="15"/>
        <v>5000</v>
      </c>
      <c r="J48" s="16">
        <v>46011.0</v>
      </c>
      <c r="K48" s="17" t="s">
        <v>149</v>
      </c>
      <c r="L48" s="17" t="s">
        <v>143</v>
      </c>
      <c r="M48" s="15">
        <f t="shared" si="12"/>
        <v>0</v>
      </c>
      <c r="N48" s="12"/>
      <c r="O48" s="12"/>
      <c r="P48" s="15">
        <f t="shared" si="11"/>
        <v>5000</v>
      </c>
      <c r="Q48" s="15"/>
    </row>
    <row r="49" ht="22.5" customHeight="1">
      <c r="A49" s="11">
        <v>27.0</v>
      </c>
      <c r="B49" s="12" t="str">
        <f>Usuarios!B28 &amp; " " &amp; Usuarios!C28 &amp; " " &amp; Usuarios!D28
</f>
        <v>Pedro  Almonacid </v>
      </c>
      <c r="C49" s="11" t="str">
        <f t="shared" si="1"/>
        <v/>
      </c>
      <c r="D49" s="13"/>
      <c r="E49" s="11">
        <f t="shared" si="13"/>
        <v>0</v>
      </c>
      <c r="F49" s="14">
        <v>1182.6</v>
      </c>
      <c r="G49" s="11">
        <f t="shared" si="14"/>
        <v>0</v>
      </c>
      <c r="H49" s="15">
        <v>5000.0</v>
      </c>
      <c r="I49" s="11">
        <f t="shared" si="15"/>
        <v>5000</v>
      </c>
      <c r="J49" s="16">
        <v>46012.0</v>
      </c>
      <c r="K49" s="17" t="s">
        <v>149</v>
      </c>
      <c r="L49" s="17" t="s">
        <v>143</v>
      </c>
      <c r="M49" s="15">
        <f t="shared" si="12"/>
        <v>0</v>
      </c>
      <c r="N49" s="12"/>
      <c r="O49" s="12"/>
      <c r="P49" s="15">
        <f t="shared" si="11"/>
        <v>5000</v>
      </c>
      <c r="Q49" s="15"/>
    </row>
    <row r="50" ht="22.5" customHeight="1">
      <c r="A50" s="11">
        <v>12.0</v>
      </c>
      <c r="B50" s="12" t="str">
        <f>Usuarios!B13 &amp; " " &amp; Usuarios!C13 &amp; " " &amp; Usuarios!D13
</f>
        <v>Pedro  Contreras </v>
      </c>
      <c r="C50" s="11" t="str">
        <f t="shared" si="1"/>
        <v/>
      </c>
      <c r="D50" s="13"/>
      <c r="E50" s="11">
        <f t="shared" si="13"/>
        <v>0</v>
      </c>
      <c r="F50" s="14">
        <v>1182.6</v>
      </c>
      <c r="G50" s="11">
        <f t="shared" si="14"/>
        <v>0</v>
      </c>
      <c r="H50" s="15">
        <v>5000.0</v>
      </c>
      <c r="I50" s="11">
        <f t="shared" si="15"/>
        <v>5000</v>
      </c>
      <c r="J50" s="16">
        <v>46013.0</v>
      </c>
      <c r="K50" s="17" t="s">
        <v>149</v>
      </c>
      <c r="L50" s="17" t="s">
        <v>143</v>
      </c>
      <c r="M50" s="15">
        <f t="shared" si="12"/>
        <v>0</v>
      </c>
      <c r="N50" s="12"/>
      <c r="O50" s="12"/>
      <c r="P50" s="15">
        <f t="shared" si="11"/>
        <v>5000</v>
      </c>
      <c r="Q50" s="15"/>
    </row>
    <row r="51" ht="22.5" customHeight="1">
      <c r="A51" s="11">
        <v>43.0</v>
      </c>
      <c r="B51" s="12" t="str">
        <f>Usuarios!B44 &amp; " " &amp; Usuarios!C44 &amp; " " &amp; Usuarios!D44
</f>
        <v>Ramon  Maldonado </v>
      </c>
      <c r="C51" s="11" t="str">
        <f t="shared" si="1"/>
        <v/>
      </c>
      <c r="D51" s="13"/>
      <c r="E51" s="11">
        <f t="shared" si="13"/>
        <v>0</v>
      </c>
      <c r="F51" s="14">
        <v>1182.6</v>
      </c>
      <c r="G51" s="11">
        <f t="shared" si="14"/>
        <v>0</v>
      </c>
      <c r="H51" s="15">
        <v>5000.0</v>
      </c>
      <c r="I51" s="11">
        <f t="shared" si="15"/>
        <v>5000</v>
      </c>
      <c r="J51" s="16">
        <v>46014.0</v>
      </c>
      <c r="K51" s="17" t="s">
        <v>149</v>
      </c>
      <c r="L51" s="17" t="s">
        <v>143</v>
      </c>
      <c r="M51" s="15">
        <f t="shared" si="12"/>
        <v>0</v>
      </c>
      <c r="N51" s="12"/>
      <c r="O51" s="12"/>
      <c r="P51" s="15">
        <f t="shared" si="11"/>
        <v>5000</v>
      </c>
      <c r="Q51" s="15"/>
    </row>
    <row r="52" ht="22.5" customHeight="1">
      <c r="A52" s="11">
        <v>14.0</v>
      </c>
      <c r="B52" s="12" t="str">
        <f>Usuarios!B15 &amp; " " &amp; Usuarios!C15 &amp; " " &amp; Usuarios!D15
</f>
        <v>Ramona  Mansilla </v>
      </c>
      <c r="C52" s="11" t="str">
        <f t="shared" si="1"/>
        <v/>
      </c>
      <c r="D52" s="13"/>
      <c r="E52" s="11">
        <f t="shared" si="13"/>
        <v>0</v>
      </c>
      <c r="F52" s="14">
        <v>1182.6</v>
      </c>
      <c r="G52" s="11">
        <f t="shared" si="14"/>
        <v>0</v>
      </c>
      <c r="H52" s="15">
        <v>5000.0</v>
      </c>
      <c r="I52" s="11">
        <f t="shared" si="15"/>
        <v>5000</v>
      </c>
      <c r="J52" s="16">
        <v>46015.0</v>
      </c>
      <c r="K52" s="17" t="s">
        <v>149</v>
      </c>
      <c r="L52" s="17" t="s">
        <v>143</v>
      </c>
      <c r="M52" s="15">
        <f t="shared" si="12"/>
        <v>0</v>
      </c>
      <c r="N52" s="12"/>
      <c r="O52" s="12"/>
      <c r="P52" s="15">
        <f t="shared" si="11"/>
        <v>5000</v>
      </c>
      <c r="Q52" s="15"/>
    </row>
    <row r="53" ht="22.5" customHeight="1">
      <c r="A53" s="11">
        <v>54.0</v>
      </c>
      <c r="B53" s="12" t="str">
        <f>Usuarios!B55 &amp; " " &amp; Usuarios!C55 &amp; " " &amp; Usuarios!D55
</f>
        <v>Rosa  Mancilla </v>
      </c>
      <c r="C53" s="11" t="str">
        <f t="shared" si="1"/>
        <v/>
      </c>
      <c r="D53" s="13"/>
      <c r="E53" s="11">
        <f t="shared" si="13"/>
        <v>0</v>
      </c>
      <c r="F53" s="14">
        <v>1182.6</v>
      </c>
      <c r="G53" s="11">
        <f t="shared" si="14"/>
        <v>0</v>
      </c>
      <c r="H53" s="15">
        <v>5000.0</v>
      </c>
      <c r="I53" s="11">
        <f t="shared" si="15"/>
        <v>5000</v>
      </c>
      <c r="J53" s="16">
        <v>46016.0</v>
      </c>
      <c r="K53" s="17" t="s">
        <v>149</v>
      </c>
      <c r="L53" s="17" t="s">
        <v>143</v>
      </c>
      <c r="M53" s="15">
        <f t="shared" si="12"/>
        <v>0</v>
      </c>
      <c r="N53" s="12"/>
      <c r="O53" s="12"/>
      <c r="P53" s="15">
        <f t="shared" si="11"/>
        <v>5000</v>
      </c>
      <c r="Q53" s="15"/>
    </row>
    <row r="54" ht="22.5" customHeight="1">
      <c r="A54" s="11">
        <v>49.0</v>
      </c>
      <c r="B54" s="12" t="str">
        <f>Usuarios!B50 &amp; " " &amp; Usuarios!C50 &amp; " " &amp; Usuarios!D50
</f>
        <v>Rosa  Nuñez </v>
      </c>
      <c r="C54" s="11" t="str">
        <f t="shared" si="1"/>
        <v/>
      </c>
      <c r="D54" s="13"/>
      <c r="E54" s="11">
        <f t="shared" si="13"/>
        <v>0</v>
      </c>
      <c r="F54" s="14">
        <v>1182.6</v>
      </c>
      <c r="G54" s="11">
        <f t="shared" si="14"/>
        <v>0</v>
      </c>
      <c r="H54" s="15">
        <v>5000.0</v>
      </c>
      <c r="I54" s="11">
        <f t="shared" si="15"/>
        <v>5000</v>
      </c>
      <c r="J54" s="16">
        <v>46017.0</v>
      </c>
      <c r="K54" s="17" t="s">
        <v>149</v>
      </c>
      <c r="L54" s="17" t="s">
        <v>143</v>
      </c>
      <c r="M54" s="15">
        <f t="shared" si="12"/>
        <v>0</v>
      </c>
      <c r="N54" s="12"/>
      <c r="O54" s="12"/>
      <c r="P54" s="15">
        <f t="shared" si="11"/>
        <v>5000</v>
      </c>
      <c r="Q54" s="15"/>
    </row>
    <row r="55" ht="22.5" customHeight="1">
      <c r="A55" s="11">
        <v>15.0</v>
      </c>
      <c r="B55" s="12" t="str">
        <f>Usuarios!B16 &amp; " " &amp; Usuarios!C16 &amp; " " &amp; Usuarios!D16
</f>
        <v>Sandra Mancilla  Merino</v>
      </c>
      <c r="C55" s="11" t="str">
        <f t="shared" si="1"/>
        <v/>
      </c>
      <c r="D55" s="13"/>
      <c r="E55" s="11">
        <f t="shared" si="13"/>
        <v>0</v>
      </c>
      <c r="F55" s="14">
        <v>1182.6</v>
      </c>
      <c r="G55" s="11">
        <f t="shared" si="14"/>
        <v>0</v>
      </c>
      <c r="H55" s="15">
        <v>5000.0</v>
      </c>
      <c r="I55" s="11">
        <f t="shared" si="15"/>
        <v>5000</v>
      </c>
      <c r="J55" s="16">
        <v>46018.0</v>
      </c>
      <c r="K55" s="17" t="s">
        <v>149</v>
      </c>
      <c r="L55" s="17" t="s">
        <v>143</v>
      </c>
      <c r="M55" s="15">
        <f t="shared" si="12"/>
        <v>0</v>
      </c>
      <c r="N55" s="12"/>
      <c r="O55" s="12"/>
      <c r="P55" s="15">
        <f t="shared" si="11"/>
        <v>5000</v>
      </c>
      <c r="Q55" s="15"/>
    </row>
    <row r="56" ht="22.5" customHeight="1">
      <c r="A56" s="11">
        <v>34.0</v>
      </c>
      <c r="B56" s="12" t="str">
        <f>Usuarios!B35 &amp; " " &amp; Usuarios!C35 &amp; " " &amp; Usuarios!D35
</f>
        <v>Vanesa  Aguilar </v>
      </c>
      <c r="C56" s="11" t="str">
        <f t="shared" si="1"/>
        <v/>
      </c>
      <c r="D56" s="13"/>
      <c r="E56" s="11">
        <f t="shared" si="13"/>
        <v>0</v>
      </c>
      <c r="F56" s="14">
        <v>1182.6</v>
      </c>
      <c r="G56" s="11">
        <f t="shared" si="14"/>
        <v>0</v>
      </c>
      <c r="H56" s="15">
        <v>5000.0</v>
      </c>
      <c r="I56" s="11">
        <f t="shared" si="15"/>
        <v>5000</v>
      </c>
      <c r="J56" s="16">
        <v>46019.0</v>
      </c>
      <c r="K56" s="17" t="s">
        <v>149</v>
      </c>
      <c r="L56" s="17" t="s">
        <v>143</v>
      </c>
      <c r="M56" s="15">
        <f t="shared" si="12"/>
        <v>0</v>
      </c>
      <c r="N56" s="12"/>
      <c r="O56" s="12"/>
      <c r="P56" s="15">
        <f t="shared" si="11"/>
        <v>5000</v>
      </c>
      <c r="Q56" s="15"/>
    </row>
    <row r="57" ht="22.5" customHeight="1">
      <c r="A57" s="11">
        <v>22.0</v>
      </c>
      <c r="B57" s="12" t="str">
        <f>Usuarios!B23 &amp; " " &amp; Usuarios!C23 &amp; " " &amp; Usuarios!D23
</f>
        <v>Yuri  Millaquen </v>
      </c>
      <c r="C57" s="11" t="str">
        <f t="shared" si="1"/>
        <v/>
      </c>
      <c r="D57" s="13"/>
      <c r="E57" s="11">
        <f t="shared" si="13"/>
        <v>0</v>
      </c>
      <c r="F57" s="14">
        <v>1182.6</v>
      </c>
      <c r="G57" s="11">
        <f t="shared" si="14"/>
        <v>0</v>
      </c>
      <c r="H57" s="15">
        <v>5000.0</v>
      </c>
      <c r="I57" s="11">
        <f t="shared" si="15"/>
        <v>5000</v>
      </c>
      <c r="J57" s="16">
        <v>46020.0</v>
      </c>
      <c r="K57" s="17" t="s">
        <v>149</v>
      </c>
      <c r="L57" s="17" t="s">
        <v>143</v>
      </c>
      <c r="M57" s="15">
        <f t="shared" si="12"/>
        <v>0</v>
      </c>
      <c r="N57" s="12"/>
      <c r="O57" s="12"/>
      <c r="P57" s="15">
        <f t="shared" si="11"/>
        <v>5000</v>
      </c>
      <c r="Q57" s="15"/>
    </row>
    <row r="58" ht="22.5" customHeight="1">
      <c r="A58" s="20"/>
      <c r="B58" s="20"/>
      <c r="C58" s="11" t="str">
        <f>'07-2025'!D98</f>
        <v/>
      </c>
      <c r="D58" s="20"/>
      <c r="E58" s="20"/>
      <c r="F58" s="21"/>
      <c r="G58" s="20"/>
      <c r="H58" s="22"/>
      <c r="I58" s="20"/>
      <c r="J58" s="23"/>
      <c r="K58" s="24"/>
      <c r="L58" s="24"/>
      <c r="M58" s="22"/>
      <c r="N58" s="25"/>
      <c r="O58" s="25"/>
      <c r="P58" s="22"/>
      <c r="Q58" s="22"/>
    </row>
  </sheetData>
  <conditionalFormatting sqref="L33">
    <cfRule type="containsText" dxfId="5" priority="1" operator="containsText" text="PARCIAL">
      <formula>NOT(ISERROR(SEARCH(("PARCIAL"),(L33))))</formula>
    </cfRule>
  </conditionalFormatting>
  <conditionalFormatting sqref="L2:L58 J58:K58">
    <cfRule type="containsText" dxfId="6" priority="2" operator="containsText" text="PENDIENTE">
      <formula>NOT(ISERROR(SEARCH(("PENDIENTE"),(L2))))</formula>
    </cfRule>
  </conditionalFormatting>
  <conditionalFormatting sqref="L2:L58 J58:K58">
    <cfRule type="containsText" dxfId="7" priority="3" operator="containsText" text="PAGADO">
      <formula>NOT(ISERROR(SEARCH(("PAGADO"),(L2))))</formula>
    </cfRule>
  </conditionalFormatting>
  <conditionalFormatting sqref="A2:Q58">
    <cfRule type="containsText" dxfId="8" priority="4" operator="containsText" text="NO APLICA">
      <formula>NOT(ISERROR(SEARCH(("NO APLICA"),(A2))))</formula>
    </cfRule>
  </conditionalFormatting>
  <conditionalFormatting sqref="A2:Q58">
    <cfRule type="containsText" dxfId="8" priority="5" operator="containsText" text="NO APLICA">
      <formula>NOT(ISERROR(SEARCH(("NO APLICA"),(A2))))</formula>
    </cfRule>
  </conditionalFormatting>
  <dataValidations>
    <dataValidation type="list" allowBlank="1" sqref="O2:O57">
      <formula1>"EFECTIVO,TRANSFERENCIA,CHEQUE,TARJETA"</formula1>
    </dataValidation>
    <dataValidation type="list" allowBlank="1" sqref="K2:K58">
      <formula1>"SI,NO"</formula1>
    </dataValidation>
    <dataValidation type="custom" allowBlank="1" showDropDown="1" sqref="A2:A58 C2:I58 M2:M58 P2:P58">
      <formula1>AND(ISNUMBER(A2),(NOT(OR(NOT(ISERROR(DATEVALUE(A2))), AND(ISNUMBER(A2), LEFT(CELL("format", A2))="D")))))</formula1>
    </dataValidation>
    <dataValidation type="list" allowBlank="1" sqref="L2:L58">
      <formula1>"PENDIENTE,PAGADO,VENCIDO,PARCIAL,NO APLICA"</formula1>
    </dataValidation>
  </dataValidations>
  <drawing r:id="rId1"/>
  <tableParts count="1">
    <tablePart r:id="rId3"/>
  </tableParts>
</worksheet>
</file>